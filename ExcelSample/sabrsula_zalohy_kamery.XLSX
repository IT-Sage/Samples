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25"/>
  <workbookPr defaultThemeVersion="166925"/>
  <mc:AlternateContent xmlns:mc="http://schemas.openxmlformats.org/markup-compatibility/2006">
    <mc:Choice Requires="x15">
      <x15ac:absPath xmlns:x15ac="http://schemas.microsoft.com/office/spreadsheetml/2010/11/ac" url="C:\Users\Honza\Desktop\CHL_VaK-Breclav\"/>
    </mc:Choice>
  </mc:AlternateContent>
  <xr:revisionPtr revIDLastSave="0" documentId="10_ncr:8100000_{C1F253AE-0A15-48EB-9B5B-42A5223E3F69}" xr6:coauthVersionLast="34" xr6:coauthVersionMax="34" xr10:uidLastSave="{00000000-0000-0000-0000-000000000000}"/>
  <bookViews>
    <workbookView xWindow="0" yWindow="0" windowWidth="19200" windowHeight="7500" activeTab="6" xr2:uid="{00000000-000D-0000-FFFF-FFFF00000000}"/>
  </bookViews>
  <sheets>
    <sheet name=" " sheetId="5" r:id="rId1"/>
    <sheet name="Pokyny k vyplnění" sheetId="6" r:id="rId2"/>
    <sheet name="Úvod" sheetId="1" r:id="rId3"/>
    <sheet name="Vzor 1" sheetId="7" r:id="rId4"/>
    <sheet name="Vzor 2" sheetId="8" r:id="rId5"/>
    <sheet name="FORMULÁŘ (2)" sheetId="9" r:id="rId6"/>
    <sheet name="FORMULÁŘ" sheetId="2" r:id="rId7"/>
    <sheet name="Data" sheetId="3" r:id="rId8"/>
  </sheets>
  <calcPr calcId="162913"/>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5" i="9" l="1"/>
  <c r="B85" i="9"/>
  <c r="B84" i="9"/>
  <c r="B83" i="9"/>
  <c r="C83" i="9" s="1"/>
  <c r="C82" i="9"/>
  <c r="B82" i="9"/>
  <c r="B81" i="9"/>
  <c r="C81" i="9" s="1"/>
  <c r="B80" i="9"/>
  <c r="C80" i="9" s="1"/>
  <c r="B79" i="9"/>
  <c r="C79" i="9" s="1"/>
  <c r="B78" i="9"/>
  <c r="C78" i="9" s="1"/>
  <c r="B77" i="9"/>
  <c r="B75" i="9"/>
  <c r="C75" i="9" s="1"/>
  <c r="B74" i="9"/>
  <c r="B73" i="9"/>
  <c r="C73" i="9" s="1"/>
  <c r="B72" i="9"/>
  <c r="C72" i="9" s="1"/>
  <c r="B71" i="9"/>
  <c r="C71" i="9" s="1"/>
  <c r="B70" i="9"/>
  <c r="C70" i="9" s="1"/>
  <c r="B69" i="9"/>
  <c r="C69" i="9" s="1"/>
  <c r="B68" i="9"/>
  <c r="C68" i="9" s="1"/>
  <c r="B67" i="9"/>
  <c r="B65" i="9"/>
  <c r="C65" i="9" s="1"/>
  <c r="B64" i="9"/>
  <c r="B63" i="9"/>
  <c r="C63" i="9" s="1"/>
  <c r="B62" i="9"/>
  <c r="C62" i="9" s="1"/>
  <c r="B61" i="9"/>
  <c r="C61" i="9" s="1"/>
  <c r="B60" i="9"/>
  <c r="C60" i="9" s="1"/>
  <c r="B59" i="9"/>
  <c r="C59" i="9" s="1"/>
  <c r="B58" i="9"/>
  <c r="C58" i="9" s="1"/>
  <c r="B57" i="9"/>
  <c r="B55" i="9"/>
  <c r="C55" i="9" s="1"/>
  <c r="B54" i="9"/>
  <c r="B53" i="9"/>
  <c r="C53" i="9" s="1"/>
  <c r="B52" i="9"/>
  <c r="C52" i="9" s="1"/>
  <c r="B51" i="9"/>
  <c r="C51" i="9" s="1"/>
  <c r="B50" i="9"/>
  <c r="C50" i="9" s="1"/>
  <c r="B49" i="9"/>
  <c r="C49" i="9" s="1"/>
  <c r="B48" i="9"/>
  <c r="C48" i="9" s="1"/>
  <c r="B47" i="9"/>
  <c r="B45" i="9"/>
  <c r="C45" i="9" s="1"/>
  <c r="B44" i="9"/>
  <c r="B43" i="9"/>
  <c r="C43" i="9" s="1"/>
  <c r="B42" i="9"/>
  <c r="C42" i="9" s="1"/>
  <c r="B41" i="9"/>
  <c r="C41" i="9" s="1"/>
  <c r="B40" i="9"/>
  <c r="C40" i="9" s="1"/>
  <c r="B39" i="9"/>
  <c r="C39" i="9" s="1"/>
  <c r="B38" i="9"/>
  <c r="C38" i="9" s="1"/>
  <c r="B37" i="9"/>
  <c r="B35" i="9"/>
  <c r="B21" i="9"/>
  <c r="B20" i="9"/>
  <c r="B85" i="8" l="1"/>
  <c r="C85" i="8" s="1"/>
  <c r="B84" i="8"/>
  <c r="B83" i="8"/>
  <c r="C83" i="8" s="1"/>
  <c r="C82" i="8"/>
  <c r="B82" i="8"/>
  <c r="B81" i="8"/>
  <c r="C81" i="8" s="1"/>
  <c r="C80" i="8"/>
  <c r="B80" i="8"/>
  <c r="B79" i="8"/>
  <c r="C79" i="8" s="1"/>
  <c r="C78" i="8"/>
  <c r="B78" i="8"/>
  <c r="B77" i="8"/>
  <c r="B75" i="8"/>
  <c r="C75" i="8" s="1"/>
  <c r="B74" i="8"/>
  <c r="B73" i="8"/>
  <c r="C73" i="8" s="1"/>
  <c r="C72" i="8"/>
  <c r="B72" i="8"/>
  <c r="B71" i="8"/>
  <c r="C71" i="8" s="1"/>
  <c r="C70" i="8"/>
  <c r="B70" i="8"/>
  <c r="B69" i="8"/>
  <c r="C69" i="8" s="1"/>
  <c r="C68" i="8"/>
  <c r="B68" i="8"/>
  <c r="B67" i="8"/>
  <c r="B65" i="8"/>
  <c r="C65" i="8" s="1"/>
  <c r="B64" i="8"/>
  <c r="C63" i="8"/>
  <c r="B63" i="8"/>
  <c r="B62" i="8"/>
  <c r="C62" i="8" s="1"/>
  <c r="C61" i="8"/>
  <c r="B61" i="8"/>
  <c r="B60" i="8"/>
  <c r="C60" i="8" s="1"/>
  <c r="C59" i="8"/>
  <c r="B59" i="8"/>
  <c r="B58" i="8"/>
  <c r="C58" i="8" s="1"/>
  <c r="B57" i="8"/>
  <c r="B55" i="8"/>
  <c r="C55" i="8" s="1"/>
  <c r="B54" i="8"/>
  <c r="C53" i="8"/>
  <c r="B53" i="8"/>
  <c r="B52" i="8"/>
  <c r="C52" i="8" s="1"/>
  <c r="C51" i="8"/>
  <c r="B51" i="8"/>
  <c r="B50" i="8"/>
  <c r="C50" i="8" s="1"/>
  <c r="C49" i="8"/>
  <c r="B49" i="8"/>
  <c r="B48" i="8"/>
  <c r="C48" i="8" s="1"/>
  <c r="B47" i="8"/>
  <c r="B45" i="8"/>
  <c r="C45" i="8" s="1"/>
  <c r="B44" i="8"/>
  <c r="B43" i="8"/>
  <c r="C43" i="8" s="1"/>
  <c r="C42" i="8"/>
  <c r="B42" i="8"/>
  <c r="B41" i="8"/>
  <c r="C41" i="8" s="1"/>
  <c r="C40" i="8"/>
  <c r="B40" i="8"/>
  <c r="B39" i="8"/>
  <c r="C39" i="8" s="1"/>
  <c r="C38" i="8"/>
  <c r="B38" i="8"/>
  <c r="B37" i="8"/>
  <c r="B35" i="8"/>
  <c r="B21" i="8"/>
  <c r="B20" i="8"/>
  <c r="B85" i="7"/>
  <c r="C85" i="7" s="1"/>
  <c r="B84" i="7"/>
  <c r="B83" i="7"/>
  <c r="C83" i="7" s="1"/>
  <c r="B82" i="7"/>
  <c r="C82" i="7" s="1"/>
  <c r="B81" i="7"/>
  <c r="C81" i="7" s="1"/>
  <c r="B80" i="7"/>
  <c r="C80" i="7" s="1"/>
  <c r="B79" i="7"/>
  <c r="C79" i="7" s="1"/>
  <c r="B78" i="7"/>
  <c r="C78" i="7" s="1"/>
  <c r="B77" i="7"/>
  <c r="B75" i="7"/>
  <c r="C75" i="7" s="1"/>
  <c r="B74" i="7"/>
  <c r="B73" i="7"/>
  <c r="C73" i="7" s="1"/>
  <c r="B72" i="7"/>
  <c r="C72" i="7" s="1"/>
  <c r="B71" i="7"/>
  <c r="C71" i="7" s="1"/>
  <c r="B70" i="7"/>
  <c r="C70" i="7" s="1"/>
  <c r="B69" i="7"/>
  <c r="C69" i="7" s="1"/>
  <c r="B68" i="7"/>
  <c r="C68" i="7" s="1"/>
  <c r="B67" i="7"/>
  <c r="B65" i="7"/>
  <c r="C65" i="7" s="1"/>
  <c r="B64" i="7"/>
  <c r="B63" i="7"/>
  <c r="C63" i="7" s="1"/>
  <c r="C62" i="7"/>
  <c r="B62" i="7"/>
  <c r="B61" i="7"/>
  <c r="C61" i="7" s="1"/>
  <c r="B60" i="7"/>
  <c r="C60" i="7" s="1"/>
  <c r="C59" i="7"/>
  <c r="B59" i="7"/>
  <c r="B58" i="7"/>
  <c r="C58" i="7" s="1"/>
  <c r="B57" i="7"/>
  <c r="B55" i="7"/>
  <c r="C55" i="7" s="1"/>
  <c r="B54" i="7"/>
  <c r="B53" i="7"/>
  <c r="C53" i="7" s="1"/>
  <c r="B52" i="7"/>
  <c r="C52" i="7" s="1"/>
  <c r="B51" i="7"/>
  <c r="C51" i="7" s="1"/>
  <c r="B50" i="7"/>
  <c r="C50" i="7" s="1"/>
  <c r="B49" i="7"/>
  <c r="C49" i="7" s="1"/>
  <c r="B48" i="7"/>
  <c r="C48" i="7" s="1"/>
  <c r="B47" i="7"/>
  <c r="B45" i="7"/>
  <c r="C45" i="7" s="1"/>
  <c r="B44" i="7"/>
  <c r="B43" i="7"/>
  <c r="B42" i="7"/>
  <c r="B41" i="7"/>
  <c r="B40" i="7"/>
  <c r="B39" i="7"/>
  <c r="B38" i="7"/>
  <c r="B37" i="7"/>
  <c r="B35" i="7"/>
  <c r="B21" i="7"/>
  <c r="B20" i="7"/>
  <c r="B55" i="2"/>
  <c r="B21" i="2" l="1"/>
  <c r="B20" i="2"/>
  <c r="B85" i="2"/>
  <c r="B84" i="2"/>
  <c r="B83" i="2"/>
  <c r="B82" i="2"/>
  <c r="B81" i="2"/>
  <c r="B80" i="2"/>
  <c r="B79" i="2"/>
  <c r="B78" i="2"/>
  <c r="B77" i="2"/>
  <c r="B75" i="2"/>
  <c r="B74" i="2"/>
  <c r="B73" i="2"/>
  <c r="B72" i="2"/>
  <c r="B71" i="2"/>
  <c r="B70" i="2"/>
  <c r="B69" i="2"/>
  <c r="B68" i="2"/>
  <c r="B67" i="2"/>
  <c r="B65" i="2"/>
  <c r="B64" i="2"/>
  <c r="B63" i="2"/>
  <c r="B62" i="2"/>
  <c r="B61" i="2"/>
  <c r="B60" i="2"/>
  <c r="B59" i="2"/>
  <c r="B58" i="2"/>
  <c r="B57" i="2"/>
  <c r="B45" i="2"/>
  <c r="B54" i="2"/>
  <c r="B53" i="2"/>
  <c r="B52" i="2"/>
  <c r="B51" i="2"/>
  <c r="B50" i="2"/>
  <c r="B49" i="2"/>
  <c r="B48" i="2"/>
  <c r="B47" i="2"/>
  <c r="B44" i="2"/>
  <c r="B35" i="2"/>
  <c r="B41" i="2" l="1"/>
  <c r="B42" i="2"/>
  <c r="C42" i="2" s="1"/>
  <c r="B39" i="2"/>
  <c r="B43" i="2"/>
  <c r="C43" i="2" s="1"/>
  <c r="B37" i="2"/>
  <c r="B38" i="2"/>
  <c r="B40" i="2"/>
  <c r="C45" i="2"/>
  <c r="C50" i="2" l="1"/>
  <c r="C55" i="2"/>
  <c r="C53" i="2"/>
  <c r="C49" i="2"/>
  <c r="C52" i="2"/>
  <c r="C48" i="2"/>
  <c r="C51" i="2"/>
  <c r="C62" i="2" l="1"/>
  <c r="C61" i="2"/>
  <c r="C63" i="2"/>
  <c r="C58" i="2"/>
  <c r="C59" i="2"/>
  <c r="C60" i="2"/>
  <c r="C65" i="2"/>
  <c r="C73" i="2" l="1"/>
  <c r="C71" i="2"/>
  <c r="C69" i="2"/>
  <c r="C75" i="2"/>
  <c r="C72" i="2"/>
  <c r="C70" i="2"/>
  <c r="C68" i="2"/>
  <c r="C83" i="2" l="1"/>
  <c r="C80" i="2"/>
  <c r="C85" i="2"/>
  <c r="C82" i="2"/>
  <c r="C79" i="2"/>
  <c r="C81" i="2"/>
  <c r="C7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Vladimír Nesvadba</author>
  </authors>
  <commentList>
    <comment ref="D42" authorId="0" shapeId="0" xr:uid="{00000000-0006-0000-0100-000001000000}">
      <text>
        <r>
          <rPr>
            <sz val="9"/>
            <color indexed="81"/>
            <rFont val="Tahoma"/>
            <family val="2"/>
            <charset val="238"/>
          </rPr>
          <t xml:space="preserve">Uveďte příslušná písmena z čl. 9 odst. 2 GDPR nebo na čl. 9 odst. 4 GDPR, na základě kterých je zvláštní kategorie OÚ zpracovávána (např. </t>
        </r>
        <r>
          <rPr>
            <b/>
            <sz val="9"/>
            <color indexed="81"/>
            <rFont val="Tahoma"/>
            <family val="2"/>
            <charset val="238"/>
          </rPr>
          <t xml:space="preserve">a,c,4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b - § 36 a násl. z.č. 257/2016</t>
        </r>
        <r>
          <rPr>
            <sz val="9"/>
            <color indexed="81"/>
            <rFont val="Tahoma"/>
            <family val="2"/>
            <charset val="238"/>
          </rPr>
          <t xml:space="preserve">).
</t>
        </r>
        <r>
          <rPr>
            <u/>
            <sz val="9"/>
            <color indexed="81"/>
            <rFont val="Tahoma"/>
            <family val="2"/>
            <charset val="238"/>
          </rPr>
          <t>Podmínky pro zpracování zvláštní kategorie OÚ:</t>
        </r>
        <r>
          <rPr>
            <sz val="9"/>
            <color indexed="81"/>
            <rFont val="Tahoma"/>
            <family val="2"/>
            <charset val="238"/>
          </rPr>
          <t xml:space="preserve">
</t>
        </r>
        <r>
          <rPr>
            <b/>
            <sz val="9"/>
            <color indexed="81"/>
            <rFont val="Tahoma"/>
            <family val="2"/>
            <charset val="238"/>
          </rPr>
          <t>9/2a)</t>
        </r>
        <r>
          <rPr>
            <sz val="9"/>
            <color indexed="81"/>
            <rFont val="Tahoma"/>
            <family val="2"/>
            <charset val="238"/>
          </rPr>
          <t xml:space="preserve"> subjekt údajů udělil výslovný souhlas se zpracováním těchto osobních údajů pro jeden nebo více stanovených účelů, s výjimkou případů, kdy právo Unie nebo členského státu stanoví, že zákaz uvedený v odstavci 1 nemůže být subjektem údajů zrušen
</t>
        </r>
        <r>
          <rPr>
            <b/>
            <sz val="9"/>
            <color indexed="81"/>
            <rFont val="Tahoma"/>
            <family val="2"/>
            <charset val="238"/>
          </rPr>
          <t>9/2b)</t>
        </r>
        <r>
          <rPr>
            <sz val="9"/>
            <color indexed="81"/>
            <rFont val="Tahoma"/>
            <family val="2"/>
            <charset val="238"/>
          </rPr>
          <t xml:space="preserve"> zpracování je nezbytné pro účely plnění povinností a výkon zvláštních práv správce nebo subjektu údajů v oblasti pracovního práva a práva v oblasti sociálního zabezpečení a sociální ochrany, pokud je povoleno právem Unie nebo členského státu nebo kolektivní dohodou podle práva členského státu, v němž se stanoví vhodné záruky týkající se základních práv a zájmů subjektu údajů
</t>
        </r>
        <r>
          <rPr>
            <b/>
            <sz val="9"/>
            <color indexed="81"/>
            <rFont val="Tahoma"/>
            <family val="2"/>
            <charset val="238"/>
          </rPr>
          <t>9/2c)</t>
        </r>
        <r>
          <rPr>
            <sz val="9"/>
            <color indexed="81"/>
            <rFont val="Tahoma"/>
            <family val="2"/>
            <charset val="238"/>
          </rPr>
          <t xml:space="preserve"> zpracování je nutné pro ochranu životně důležitých zájmů subjektu údajů nebo jiné fyzické osoby v případě, že subjekt údajů není fyzicky nebo právně způsobilý udělit souhlas
</t>
        </r>
        <r>
          <rPr>
            <b/>
            <sz val="9"/>
            <color indexed="81"/>
            <rFont val="Tahoma"/>
            <family val="2"/>
            <charset val="238"/>
          </rPr>
          <t>9/2d)</t>
        </r>
        <r>
          <rPr>
            <sz val="9"/>
            <color indexed="81"/>
            <rFont val="Tahoma"/>
            <family val="2"/>
            <charset val="238"/>
          </rPr>
          <t xml:space="preserve"> zpracování provádí v rámci svých oprávněných činností a s vhodnými zárukami nadace, sdružení nebo jiný neziskový subjekt, který sleduje politické, filozofické, náboženské nebo odborové cíle, a za podmínky, že se zpracování vztahuje pouze na současné nebo bývalé členy tohoto subjektu nebo na osoby, které s ním udržují pravidelné styky související s jeho cíli, a že tyto osobní údaje nejsou bez souhlasu subjektu údajů zpřístupňovány mimo tento subjekt
</t>
        </r>
        <r>
          <rPr>
            <b/>
            <sz val="9"/>
            <color indexed="81"/>
            <rFont val="Tahoma"/>
            <family val="2"/>
            <charset val="238"/>
          </rPr>
          <t>9/2e)</t>
        </r>
        <r>
          <rPr>
            <sz val="9"/>
            <color indexed="81"/>
            <rFont val="Tahoma"/>
            <family val="2"/>
            <charset val="238"/>
          </rPr>
          <t xml:space="preserve"> zpracování se týká osobních údajů zjevně zveřejněných subjektem údajů
</t>
        </r>
        <r>
          <rPr>
            <b/>
            <sz val="9"/>
            <color indexed="81"/>
            <rFont val="Tahoma"/>
            <family val="2"/>
            <charset val="238"/>
          </rPr>
          <t>9/2f)</t>
        </r>
        <r>
          <rPr>
            <sz val="9"/>
            <color indexed="81"/>
            <rFont val="Tahoma"/>
            <family val="2"/>
            <charset val="238"/>
          </rPr>
          <t xml:space="preserve"> zpracování je nezbytné pro určení, výkon nebo obhajobu právních nároků nebo pokud soudy jednají v rámci svých soudních pravomocí
</t>
        </r>
        <r>
          <rPr>
            <b/>
            <sz val="9"/>
            <color indexed="81"/>
            <rFont val="Tahoma"/>
            <family val="2"/>
            <charset val="238"/>
          </rPr>
          <t>9/2g)</t>
        </r>
        <r>
          <rPr>
            <sz val="9"/>
            <color indexed="81"/>
            <rFont val="Tahoma"/>
            <family val="2"/>
            <charset val="238"/>
          </rPr>
          <t xml:space="preserve"> zpracování je nezbytné z důvodu významného veřejného zájmu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9/2h)</t>
        </r>
        <r>
          <rPr>
            <sz val="9"/>
            <color indexed="81"/>
            <rFont val="Tahoma"/>
            <family val="2"/>
            <charset val="238"/>
          </rPr>
          <t xml:space="preserve"> zpracování je nezbytné pro účely preventivního nebo pracovního lékařství, pro posouzení pracovní schopnosti zaměstnance, lékařské diagnostiky, poskytování zdravotní nebo sociální péče či léčby nebo řízení systémů a služeb zdravotní nebo sociální péče na základě práva Unie nebo členského státu nebo podle smlouvy se zdravotnickým pracovníkem a při splnění podmínek a záruk uvedených v odstavci 4
</t>
        </r>
        <r>
          <rPr>
            <b/>
            <sz val="9"/>
            <color indexed="81"/>
            <rFont val="Tahoma"/>
            <family val="2"/>
            <charset val="238"/>
          </rPr>
          <t xml:space="preserve">9/2i) </t>
        </r>
        <r>
          <rPr>
            <sz val="9"/>
            <color indexed="81"/>
            <rFont val="Tahoma"/>
            <family val="2"/>
            <charset val="238"/>
          </rPr>
          <t xml:space="preserve">zpracování je nezbytné z důvodů veřejného zájmu v oblasti veřejného zdraví, jako je ochrana před vážnými přeshraničními zdravotními hrozbami nebo zajištění přísných norem kvality a bezpečnosti zdravotní péče a léčivých přípravků nebo zdravotnických prostředků, na základě práva Unie nebo členského státu, které stanoví odpovídající a zvláštní opatření pro zajištění práv a svobod subjektu údajů, zejména služebního tajemství
</t>
        </r>
        <r>
          <rPr>
            <b/>
            <sz val="9"/>
            <color indexed="81"/>
            <rFont val="Tahoma"/>
            <family val="2"/>
            <charset val="238"/>
          </rPr>
          <t>9/2j)</t>
        </r>
        <r>
          <rPr>
            <sz val="9"/>
            <color indexed="81"/>
            <rFont val="Tahoma"/>
            <family val="2"/>
            <charset val="238"/>
          </rPr>
          <t xml:space="preserve"> zpracování je nezbytné pro účely archivace ve veřejném zájmu, pro účely vědeckého či historického výzkumu nebo pro statistické účely v souladu s čl. 89 odst. 1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 xml:space="preserve">9/4 </t>
        </r>
        <r>
          <rPr>
            <sz val="9"/>
            <color indexed="81"/>
            <rFont val="Tahoma"/>
            <family val="2"/>
            <charset val="238"/>
          </rPr>
          <t>Členské státy mohou zachovat nebo zavést další podmínky, včetně omezení, pokud jde o zpracování genetických údajů, biometrických údajů či údajů o zdravotním stavu.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Vladimír Nesvadba</author>
  </authors>
  <commentList>
    <comment ref="C2" authorId="0" shapeId="0" xr:uid="{00000000-0006-0000-0300-000001000000}">
      <text>
        <r>
          <rPr>
            <sz val="9"/>
            <color indexed="81"/>
            <rFont val="Tahoma"/>
            <family val="2"/>
            <charset val="238"/>
          </rPr>
          <t>Uveďte název zpracování, který nejlépe vystihuje agendu, v níž jsou osobní údaje zpracovány. Název zpracování se bude používat v navazujících dokumentech.</t>
        </r>
        <r>
          <rPr>
            <sz val="9"/>
            <color indexed="81"/>
            <rFont val="Tahoma"/>
            <family val="2"/>
            <charset val="238"/>
          </rPr>
          <t xml:space="preserve">
</t>
        </r>
      </text>
    </comment>
    <comment ref="C3" authorId="0" shapeId="0" xr:uid="{00000000-0006-0000-0300-000002000000}">
      <text>
        <r>
          <rPr>
            <sz val="9"/>
            <color indexed="81"/>
            <rFont val="Tahoma"/>
            <family val="2"/>
            <charset val="238"/>
          </rPr>
          <t xml:space="preserve">Každé zpracování označte jedinečným označením (forma číslování není stanovena). Číslo pak použijte v názvu daného listu, např. "35".
</t>
        </r>
      </text>
    </comment>
    <comment ref="C4" authorId="0" shapeId="0" xr:uid="{00000000-0006-0000-0300-000003000000}">
      <text>
        <r>
          <rPr>
            <sz val="9"/>
            <color indexed="81"/>
            <rFont val="Tahoma"/>
            <family val="2"/>
            <charset val="238"/>
          </rPr>
          <t>Organizační jednotkou je myšlena součást subjektu, který zpracování provádí (např. ekonomický odbor, personální oddělení apod.). Nejsou-li organizační jednotky zavedeny, údaj se nevyplňuje.</t>
        </r>
      </text>
    </comment>
    <comment ref="C5" authorId="0" shapeId="0" xr:uid="{00000000-0006-0000-0300-000004000000}">
      <text>
        <r>
          <rPr>
            <sz val="9"/>
            <color indexed="81"/>
            <rFont val="Tahoma"/>
            <family val="2"/>
            <charset val="238"/>
          </rPr>
          <t>Vyplní se pouze v případě, že organizační jednotka má přidělené vlastní číslo, pod kterým je v příslušných interních aktech řízení uváděna.</t>
        </r>
      </text>
    </comment>
    <comment ref="C6" authorId="0" shapeId="0" xr:uid="{00000000-0006-0000-0300-000005000000}">
      <text>
        <r>
          <rPr>
            <sz val="9"/>
            <color indexed="81"/>
            <rFont val="Tahoma"/>
            <family val="2"/>
            <charset val="238"/>
          </rPr>
          <t xml:space="preserve">Odpovědná osoba za danou oblast zpracování (uveďte </t>
        </r>
        <r>
          <rPr>
            <b/>
            <sz val="9"/>
            <color indexed="81"/>
            <rFont val="Tahoma"/>
            <family val="2"/>
            <charset val="238"/>
          </rPr>
          <t>titul, jméno, příjmení, pracovní pozici</t>
        </r>
        <r>
          <rPr>
            <sz val="9"/>
            <color indexed="81"/>
            <rFont val="Tahoma"/>
            <family val="2"/>
            <charset val="238"/>
          </rPr>
          <t xml:space="preserve">). Uvedená osoba by měla být současně respondentem tohoto check listu. </t>
        </r>
      </text>
    </comment>
    <comment ref="C7" authorId="0" shapeId="0" xr:uid="{00000000-0006-0000-0300-000006000000}">
      <text>
        <r>
          <rPr>
            <sz val="9"/>
            <color indexed="81"/>
            <rFont val="Tahoma"/>
            <family val="2"/>
            <charset val="238"/>
          </rPr>
          <t xml:space="preserve">Uveďte pracovní e-mail odpovědné osoby.
</t>
        </r>
      </text>
    </comment>
    <comment ref="C8" authorId="0" shapeId="0" xr:uid="{00000000-0006-0000-0300-000007000000}">
      <text>
        <r>
          <rPr>
            <sz val="9"/>
            <color indexed="81"/>
            <rFont val="Tahoma"/>
            <family val="2"/>
            <charset val="238"/>
          </rPr>
          <t xml:space="preserve">Uveďte pracovní telefonní číslo
odpovědné osoby.
</t>
        </r>
      </text>
    </comment>
    <comment ref="C9" authorId="0" shapeId="0" xr:uid="{00000000-0006-0000-0300-000008000000}">
      <text>
        <r>
          <rPr>
            <sz val="9"/>
            <color indexed="81"/>
            <rFont val="Tahoma"/>
            <family val="2"/>
            <charset val="238"/>
          </rPr>
          <t>Uveďte výčet pracovních pozic spolu se zařazením do organizačních jednotek, které jsou oprávněny zpracovávat předmětné OÚ.</t>
        </r>
      </text>
    </comment>
    <comment ref="C10" authorId="0" shapeId="0" xr:uid="{00000000-0006-0000-0300-000009000000}">
      <text>
        <r>
          <rPr>
            <sz val="9"/>
            <color indexed="81"/>
            <rFont val="Tahoma"/>
            <family val="2"/>
            <charset val="238"/>
          </rPr>
          <t xml:space="preserve">Uveďte, zda bude příjemce OÚ jen správce nebo jiné osoby, které specifikujte (např. ČSSZ, ostatní zdravotní pojištovny, smluvní partneři atd.) 
</t>
        </r>
        <r>
          <rPr>
            <b/>
            <i/>
            <sz val="9"/>
            <color indexed="81"/>
            <rFont val="Tahoma"/>
            <family val="2"/>
            <charset val="238"/>
          </rPr>
          <t xml:space="preserve">„příjemcem“ fyzická nebo právnická osoba, orgán veřejné moci, agentura nebo jiný subjekt, kterým jsou osobní údaje poskytnuty, ať už se jedná o třetí stranu, či nikoli. Avšak orgány veřejné moci, které mohou získávat osobní údaje v rámci zvláštního šetření v souladu s právem členského státu, se za příjemce nepovažují; zpracování těchto osobních údajů těmito orgány veřejné moci musí být v souladu s použitelnými pravidly ochrany údajů pro dané účely zpracování </t>
        </r>
        <r>
          <rPr>
            <i/>
            <sz val="9"/>
            <color indexed="81"/>
            <rFont val="Tahoma"/>
            <family val="2"/>
            <charset val="238"/>
          </rPr>
          <t>(čl. 4 odst. 9 GDPR)</t>
        </r>
      </text>
    </comment>
    <comment ref="C12" authorId="0" shapeId="0" xr:uid="{00000000-0006-0000-0300-00000A000000}">
      <text>
        <r>
          <rPr>
            <sz val="9"/>
            <color indexed="81"/>
            <rFont val="Tahoma"/>
            <family val="2"/>
            <charset val="238"/>
          </rPr>
          <t xml:space="preserve">Uvede se počet subjektů údajů (v řádech tisíců), k nimž se OÚ zpracovávají, např. "12000". </t>
        </r>
      </text>
    </comment>
    <comment ref="C13" authorId="0" shapeId="0" xr:uid="{00000000-0006-0000-0300-00000B000000}">
      <text>
        <r>
          <rPr>
            <sz val="9"/>
            <color indexed="81"/>
            <rFont val="Tahoma"/>
            <family val="2"/>
            <charset val="238"/>
          </rPr>
          <t>Uveďte všechna místa zpracování, pokud jsou odlišná od sídla uvedeného na listu "Úvod". Uveďte přesné adresy a stát, pokud není místo v České republice.</t>
        </r>
      </text>
    </comment>
    <comment ref="C14" authorId="0" shapeId="0" xr:uid="{00000000-0006-0000-0300-00000C000000}">
      <text>
        <r>
          <rPr>
            <sz val="9"/>
            <color indexed="81"/>
            <rFont val="Tahoma"/>
            <family val="2"/>
            <charset val="238"/>
          </rPr>
          <t xml:space="preserve">Uveďte, z jakých zdrojů OÚ shromažďujete:
- </t>
        </r>
        <r>
          <rPr>
            <b/>
            <sz val="9"/>
            <color indexed="81"/>
            <rFont val="Tahoma"/>
            <family val="2"/>
            <charset val="238"/>
          </rPr>
          <t>od subjektu údajů</t>
        </r>
        <r>
          <rPr>
            <sz val="9"/>
            <color indexed="81"/>
            <rFont val="Tahoma"/>
            <family val="2"/>
            <charset val="238"/>
          </rPr>
          <t xml:space="preserve">
- </t>
        </r>
        <r>
          <rPr>
            <b/>
            <sz val="9"/>
            <color indexed="81"/>
            <rFont val="Tahoma"/>
            <family val="2"/>
            <charset val="238"/>
          </rPr>
          <t>z veřejných zdrojů</t>
        </r>
        <r>
          <rPr>
            <sz val="9"/>
            <color indexed="81"/>
            <rFont val="Tahoma"/>
            <family val="2"/>
            <charset val="238"/>
          </rPr>
          <t xml:space="preserve"> (specifikujte z jakých zdrojů)
- </t>
        </r>
        <r>
          <rPr>
            <b/>
            <sz val="9"/>
            <color indexed="81"/>
            <rFont val="Tahoma"/>
            <family val="2"/>
            <charset val="238"/>
          </rPr>
          <t>z jiných zdrojů</t>
        </r>
        <r>
          <rPr>
            <sz val="9"/>
            <color indexed="81"/>
            <rFont val="Tahoma"/>
            <family val="2"/>
            <charset val="238"/>
          </rPr>
          <t xml:space="preserve"> (specifikujte z jakých zdrojů)</t>
        </r>
      </text>
    </comment>
    <comment ref="C15" authorId="0" shapeId="0" xr:uid="{00000000-0006-0000-0300-00000D000000}">
      <text>
        <r>
          <rPr>
            <sz val="9"/>
            <color indexed="81"/>
            <rFont val="Tahoma"/>
            <family val="2"/>
            <charset val="238"/>
          </rPr>
          <t>Vyberte jeden z nabízených způsobů zpracování. 
V systémech automatizovaného zpracování by omezení zpracování mělo být v zásadě zajištěno technickými prostředky tak, aby se na osobní údaje již nevztahovaly žádné další operace zpracování a aby nemohly být změněny.
Neautomatizovaným zpracováním se rozumí manuální zpracování zejména v listinné podobě.</t>
        </r>
      </text>
    </comment>
    <comment ref="C16" authorId="0" shapeId="0" xr:uid="{00000000-0006-0000-0300-00000E000000}">
      <text>
        <r>
          <rPr>
            <sz val="9"/>
            <color indexed="81"/>
            <rFont val="Tahoma"/>
            <family val="2"/>
            <charset val="238"/>
          </rPr>
          <t xml:space="preserve">Uveďte, zda provádíte přeshraniční zpracování OÚ dle níže uvedené definice přeshraničního zpracování.
</t>
        </r>
        <r>
          <rPr>
            <b/>
            <i/>
            <sz val="9"/>
            <color indexed="81"/>
            <rFont val="Tahoma"/>
            <family val="2"/>
            <charset val="238"/>
          </rPr>
          <t xml:space="preserve">„přeshraničním zpracováním“ buď: 
a) zpracování osobních údajů, které probíhá v souvislosti s činnostmi provozoven ve více než jednom členském státě správce či zpracovatele v Unii, je-li tento správce či zpracovatel usazen ve více než jednom členském státě; nebo 
b) zpracování osobních údajů, které probíhá v souvislosti s činnostmi jediné provozovny správce či zpracovatele v Unii, ale kterým jsou nebo pravděpodobně budou podstatně dotčeny subjekty údajů ve více než jednom členském státě </t>
        </r>
        <r>
          <rPr>
            <sz val="9"/>
            <color indexed="81"/>
            <rFont val="Tahoma"/>
            <family val="2"/>
            <charset val="238"/>
          </rPr>
          <t>(čl. 4 odst. 23 GDPR)</t>
        </r>
      </text>
    </comment>
    <comment ref="C17" authorId="0" shapeId="0" xr:uid="{00000000-0006-0000-0300-00000F000000}">
      <text>
        <r>
          <rPr>
            <sz val="9"/>
            <color indexed="81"/>
            <rFont val="Tahoma"/>
            <family val="2"/>
            <charset val="238"/>
          </rPr>
          <t xml:space="preserve">Vypište všechny informace o fyzické osobě, které v souvislosti s předmětným zpracováním OÚ shromažďujete (např. titul, jméno, příjmení, r.č., bydliště, čísla dokladů, číslo účtu, fotografie, telefonní číslo, e-mailová adresa, osobní evidenční číslo atd.). 
</t>
        </r>
        <r>
          <rPr>
            <b/>
            <i/>
            <sz val="9"/>
            <color indexed="81"/>
            <rFont val="Tahoma"/>
            <family val="2"/>
            <charset val="238"/>
          </rPr>
          <t>„Osobními údaji“ jsou veškeré informace o identifikované nebo identifikovatelné fyzické osobě (dále jen „subjekt údajů“); identifikovatelnou fyzickou osobou je fyzická osoba, kterou lze přímo či nepřímo identifikovat, zejména odkazem na určitý identifikátor, například jméno, identifikační číslo, lokační údaje, síťový identifikátor nebo na jeden či více zvláštních prvků fyzické, fyziologické, genetické, psychické, ekonomické, kulturní nebo společenské identity této fyzické osoby.</t>
        </r>
        <r>
          <rPr>
            <sz val="9"/>
            <color indexed="81"/>
            <rFont val="Tahoma"/>
            <family val="2"/>
            <charset val="238"/>
          </rPr>
          <t xml:space="preserve"> (čl. 4 odst. 1 GDPR)</t>
        </r>
      </text>
    </comment>
    <comment ref="C18" authorId="0" shapeId="0" xr:uid="{00000000-0006-0000-0300-000010000000}">
      <text>
        <r>
          <rPr>
            <sz val="9"/>
            <color indexed="81"/>
            <rFont val="Tahoma"/>
            <family val="2"/>
            <charset val="238"/>
          </rPr>
          <t xml:space="preserve">Uveďte příslušná písmena z čl. 6 odst. 1 GDPR, na základě kterých jsou OÚ zpracovávány (např. </t>
        </r>
        <r>
          <rPr>
            <b/>
            <sz val="9"/>
            <color indexed="81"/>
            <rFont val="Tahoma"/>
            <family val="2"/>
            <charset val="238"/>
          </rPr>
          <t>a,c</t>
        </r>
        <r>
          <rPr>
            <sz val="9"/>
            <color indexed="81"/>
            <rFont val="Tahoma"/>
            <family val="2"/>
            <charset val="238"/>
          </rPr>
          <t>)</t>
        </r>
        <r>
          <rPr>
            <b/>
            <sz val="9"/>
            <color indexed="81"/>
            <rFont val="Tahoma"/>
            <family val="2"/>
            <charset val="238"/>
          </rPr>
          <t xml:space="preserve">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c - § 36 a násl. z.č. 257/2016</t>
        </r>
        <r>
          <rPr>
            <sz val="9"/>
            <color indexed="81"/>
            <rFont val="Tahoma"/>
            <family val="2"/>
            <charset val="238"/>
          </rPr>
          <t xml:space="preserve">).
</t>
        </r>
        <r>
          <rPr>
            <u/>
            <sz val="9"/>
            <color indexed="81"/>
            <rFont val="Tahoma"/>
            <family val="2"/>
            <charset val="238"/>
          </rPr>
          <t xml:space="preserve">Podmínky pro zpracování OÚ:
</t>
        </r>
        <r>
          <rPr>
            <sz val="9"/>
            <color indexed="81"/>
            <rFont val="Tahoma"/>
            <family val="2"/>
            <charset val="238"/>
          </rPr>
          <t xml:space="preserve">Zpracování je zákonné, pouze pokud je splněna nejméně jedna z těchto podmínek a pouze v odpovídajícím rozsahu: 
</t>
        </r>
        <r>
          <rPr>
            <b/>
            <sz val="9"/>
            <color indexed="81"/>
            <rFont val="Tahoma"/>
            <family val="2"/>
            <charset val="238"/>
          </rPr>
          <t>6/1a)</t>
        </r>
        <r>
          <rPr>
            <sz val="9"/>
            <color indexed="81"/>
            <rFont val="Tahoma"/>
            <family val="2"/>
            <charset val="238"/>
          </rPr>
          <t xml:space="preserve"> subjekt údajů udělil souhlas se zpracováním svých osobních údajů pro jeden či více konkrétních účelů
</t>
        </r>
        <r>
          <rPr>
            <b/>
            <sz val="9"/>
            <color indexed="81"/>
            <rFont val="Tahoma"/>
            <family val="2"/>
            <charset val="238"/>
          </rPr>
          <t>6/1b)</t>
        </r>
        <r>
          <rPr>
            <sz val="9"/>
            <color indexed="81"/>
            <rFont val="Tahoma"/>
            <family val="2"/>
            <charset val="238"/>
          </rPr>
          <t xml:space="preserve"> zpracování je nezbytné pro splnění smlouvy, jejíž smluvní stranou je subjekt údajů, nebo pro provedení opatření přijatých před uzavřením smlouvy na žádost tohoto subjektu údajů
</t>
        </r>
        <r>
          <rPr>
            <b/>
            <sz val="9"/>
            <color indexed="81"/>
            <rFont val="Tahoma"/>
            <family val="2"/>
            <charset val="238"/>
          </rPr>
          <t>6/1c)</t>
        </r>
        <r>
          <rPr>
            <sz val="9"/>
            <color indexed="81"/>
            <rFont val="Tahoma"/>
            <family val="2"/>
            <charset val="238"/>
          </rPr>
          <t xml:space="preserve"> zpracování je nezbytné pro splnění právní povinnosti, která se na správce vztahuje
</t>
        </r>
        <r>
          <rPr>
            <b/>
            <sz val="9"/>
            <color indexed="81"/>
            <rFont val="Tahoma"/>
            <family val="2"/>
            <charset val="238"/>
          </rPr>
          <t>6/1d)</t>
        </r>
        <r>
          <rPr>
            <sz val="9"/>
            <color indexed="81"/>
            <rFont val="Tahoma"/>
            <family val="2"/>
            <charset val="238"/>
          </rPr>
          <t xml:space="preserve"> zpracování je nezbytné pro ochranu životně důležitých zájmů subjektu údajů nebo jiné fyzické osoby
</t>
        </r>
        <r>
          <rPr>
            <b/>
            <sz val="9"/>
            <color indexed="81"/>
            <rFont val="Tahoma"/>
            <family val="2"/>
            <charset val="238"/>
          </rPr>
          <t>6/1e)</t>
        </r>
        <r>
          <rPr>
            <sz val="9"/>
            <color indexed="81"/>
            <rFont val="Tahoma"/>
            <family val="2"/>
            <charset val="238"/>
          </rPr>
          <t xml:space="preserve"> zpracování je nezbytné pro splnění úkolu prováděného ve veřejném zájmu nebo při výkonu veřejné moci, kterým je pověřen správce
</t>
        </r>
        <r>
          <rPr>
            <b/>
            <sz val="9"/>
            <color indexed="81"/>
            <rFont val="Tahoma"/>
            <family val="2"/>
            <charset val="238"/>
          </rPr>
          <t>6/1f)</t>
        </r>
        <r>
          <rPr>
            <sz val="9"/>
            <color indexed="81"/>
            <rFont val="Tahoma"/>
            <family val="2"/>
            <charset val="238"/>
          </rPr>
          <t xml:space="preserve"> zpracování je nezbytné pro účely oprávněných zájmů příslušného správce či třetí strany, kromě případů, kdy před těmito zájmy mají přednost zájmy nebo základní práva a svobody subjektu údajů vyžadující ochranu osobních údajů, zejména pokud je subjektem údajů dítě.
</t>
        </r>
      </text>
    </comment>
    <comment ref="C19" authorId="0" shapeId="0" xr:uid="{00000000-0006-0000-0300-000011000000}">
      <text>
        <r>
          <rPr>
            <sz val="9"/>
            <color indexed="81"/>
            <rFont val="Tahoma"/>
            <family val="2"/>
            <charset val="238"/>
          </rPr>
          <t xml:space="preserve">Uveďte, zda provádíte zpracování zvláštní kategorie OÚ uvedených v čl. 9 odst. 1  GDPR, tedy OÚ </t>
        </r>
        <r>
          <rPr>
            <u/>
            <sz val="9"/>
            <color indexed="81"/>
            <rFont val="Tahoma"/>
            <family val="2"/>
            <charset val="238"/>
          </rPr>
          <t>vypovídajících o:</t>
        </r>
        <r>
          <rPr>
            <sz val="9"/>
            <color indexed="81"/>
            <rFont val="Tahoma"/>
            <family val="2"/>
            <charset val="238"/>
          </rPr>
          <t xml:space="preserve">
</t>
        </r>
        <r>
          <rPr>
            <b/>
            <sz val="9"/>
            <color indexed="81"/>
            <rFont val="Tahoma"/>
            <family val="2"/>
            <charset val="238"/>
          </rPr>
          <t>rasovém či etnickém původu, 
politických názorech, 
náboženském vyznání či filozofickém přesvědčení 
členství v odborech,</t>
        </r>
        <r>
          <rPr>
            <sz val="9"/>
            <color indexed="81"/>
            <rFont val="Tahoma"/>
            <family val="2"/>
            <charset val="238"/>
          </rPr>
          <t xml:space="preserve">
</t>
        </r>
        <r>
          <rPr>
            <u/>
            <sz val="9"/>
            <color indexed="81"/>
            <rFont val="Tahoma"/>
            <family val="2"/>
            <charset val="238"/>
          </rPr>
          <t>zpracování:</t>
        </r>
        <r>
          <rPr>
            <sz val="9"/>
            <color indexed="81"/>
            <rFont val="Tahoma"/>
            <family val="2"/>
            <charset val="238"/>
          </rPr>
          <t xml:space="preserve">
</t>
        </r>
        <r>
          <rPr>
            <b/>
            <sz val="9"/>
            <color indexed="81"/>
            <rFont val="Tahoma"/>
            <family val="2"/>
            <charset val="238"/>
          </rPr>
          <t xml:space="preserve">genetických údajů nebo biometrických údajů za účelem jedinečné identifikace fyzické osoby 
údajů o zdravotním stavu 
údajů o sexuálním životě nebo sexuální orientaci fyzické osoby
</t>
        </r>
        <r>
          <rPr>
            <sz val="9"/>
            <color indexed="81"/>
            <rFont val="Tahoma"/>
            <family val="2"/>
            <charset val="238"/>
          </rPr>
          <t xml:space="preserve">
</t>
        </r>
        <r>
          <rPr>
            <b/>
            <i/>
            <sz val="9"/>
            <color indexed="81"/>
            <rFont val="Tahoma"/>
            <family val="2"/>
            <charset val="238"/>
          </rPr>
          <t>„genetickými údaji“ osobní údaje týkající se zděděných nebo získaných genetických znaků fyzické osoby, které poskytují jedinečné informace o její fyziologii či zdraví a které vyplývají zejména z analýzy biologického vzorku dotčené fyzické osoby</t>
        </r>
        <r>
          <rPr>
            <i/>
            <sz val="9"/>
            <color indexed="81"/>
            <rFont val="Tahoma"/>
            <family val="2"/>
            <charset val="238"/>
          </rPr>
          <t xml:space="preserve"> (čl. 4 odst. 13 GDPR)</t>
        </r>
        <r>
          <rPr>
            <b/>
            <i/>
            <sz val="9"/>
            <color indexed="81"/>
            <rFont val="Tahoma"/>
            <family val="2"/>
            <charset val="238"/>
          </rPr>
          <t xml:space="preserve">
„biometrickými údaji“ osobní údaje vyplývající z konkrétního technického zpracování týkající se fyzických či fyziologických znaků nebo znaků chování fyzické osoby, které umožňuje nebo potvrzuje jedinečnou identifikaci, například zobrazení obličeje nebo daktyloskopické údaje</t>
        </r>
        <r>
          <rPr>
            <i/>
            <sz val="9"/>
            <color indexed="81"/>
            <rFont val="Tahoma"/>
            <family val="2"/>
            <charset val="238"/>
          </rPr>
          <t xml:space="preserve"> (čl. 4 odst. 14 GDPR)</t>
        </r>
        <r>
          <rPr>
            <b/>
            <i/>
            <sz val="9"/>
            <color indexed="81"/>
            <rFont val="Tahoma"/>
            <family val="2"/>
            <charset val="238"/>
          </rPr>
          <t xml:space="preserve">
„údaji o zdravotním stavu“ osobní údaje týkající se tělesného nebo duševního zdraví fyzické osoby, včetně údajů o poskytnutí zdravotních služeb, které vypovídají o jejím zdravotním stavu</t>
        </r>
        <r>
          <rPr>
            <i/>
            <sz val="9"/>
            <color indexed="81"/>
            <rFont val="Tahoma"/>
            <family val="2"/>
            <charset val="238"/>
          </rPr>
          <t xml:space="preserve"> (čl. 4 odst. 15 GDPR)</t>
        </r>
        <r>
          <rPr>
            <b/>
            <i/>
            <sz val="9"/>
            <color indexed="81"/>
            <rFont val="Tahoma"/>
            <family val="2"/>
            <charset val="238"/>
          </rPr>
          <t xml:space="preserve">
</t>
        </r>
      </text>
    </comment>
    <comment ref="C20" authorId="0" shapeId="0" xr:uid="{00000000-0006-0000-0300-000012000000}">
      <text>
        <r>
          <rPr>
            <sz val="9"/>
            <color indexed="81"/>
            <rFont val="Tahoma"/>
            <family val="2"/>
            <charset val="238"/>
          </rPr>
          <t>Uveďte přesný druh (viz. nápověda k buňce C19).</t>
        </r>
      </text>
    </comment>
    <comment ref="C21" authorId="0" shapeId="0" xr:uid="{00000000-0006-0000-0300-000013000000}">
      <text>
        <r>
          <rPr>
            <sz val="9"/>
            <color indexed="81"/>
            <rFont val="Tahoma"/>
            <family val="2"/>
            <charset val="238"/>
          </rPr>
          <t xml:space="preserve">Uveďte příslušná písmena z čl. 9 odst. 2 GDPR nebo na čl. 9 odst. 4 GDPR, na základě kterých je zvláštní kategorie OÚ zpracovávána (např. </t>
        </r>
        <r>
          <rPr>
            <b/>
            <sz val="9"/>
            <color indexed="81"/>
            <rFont val="Tahoma"/>
            <family val="2"/>
            <charset val="238"/>
          </rPr>
          <t xml:space="preserve">a,c,4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b - § 36 a násl. z.č. 257/2016</t>
        </r>
        <r>
          <rPr>
            <sz val="9"/>
            <color indexed="81"/>
            <rFont val="Tahoma"/>
            <family val="2"/>
            <charset val="238"/>
          </rPr>
          <t xml:space="preserve">).
</t>
        </r>
        <r>
          <rPr>
            <u/>
            <sz val="9"/>
            <color indexed="81"/>
            <rFont val="Tahoma"/>
            <family val="2"/>
            <charset val="238"/>
          </rPr>
          <t>Podmínky pro zpracování zvláštní kategorie OÚ:</t>
        </r>
        <r>
          <rPr>
            <sz val="9"/>
            <color indexed="81"/>
            <rFont val="Tahoma"/>
            <family val="2"/>
            <charset val="238"/>
          </rPr>
          <t xml:space="preserve">
</t>
        </r>
        <r>
          <rPr>
            <b/>
            <sz val="9"/>
            <color indexed="81"/>
            <rFont val="Tahoma"/>
            <family val="2"/>
            <charset val="238"/>
          </rPr>
          <t>9/2a)</t>
        </r>
        <r>
          <rPr>
            <sz val="9"/>
            <color indexed="81"/>
            <rFont val="Tahoma"/>
            <family val="2"/>
            <charset val="238"/>
          </rPr>
          <t xml:space="preserve"> subjekt údajů udělil výslovný souhlas se zpracováním těchto osobních údajů pro jeden nebo více stanovených účelů, s výjimkou případů, kdy právo Unie nebo členského státu stanoví, že zákaz uvedený v odstavci 1 nemůže být subjektem údajů zrušen
</t>
        </r>
        <r>
          <rPr>
            <b/>
            <sz val="9"/>
            <color indexed="81"/>
            <rFont val="Tahoma"/>
            <family val="2"/>
            <charset val="238"/>
          </rPr>
          <t>9/2b)</t>
        </r>
        <r>
          <rPr>
            <sz val="9"/>
            <color indexed="81"/>
            <rFont val="Tahoma"/>
            <family val="2"/>
            <charset val="238"/>
          </rPr>
          <t xml:space="preserve"> zpracování je nezbytné pro účely plnění povinností a výkon zvláštních práv správce nebo subjektu údajů v oblasti pracovního práva a práva v oblasti sociálního zabezpečení a sociální ochrany, pokud je povoleno právem Unie nebo členského státu nebo kolektivní dohodou podle práva členského státu, v němž se stanoví vhodné záruky týkající se základních práv a zájmů subjektu údajů
</t>
        </r>
        <r>
          <rPr>
            <b/>
            <sz val="9"/>
            <color indexed="81"/>
            <rFont val="Tahoma"/>
            <family val="2"/>
            <charset val="238"/>
          </rPr>
          <t>9/2c)</t>
        </r>
        <r>
          <rPr>
            <sz val="9"/>
            <color indexed="81"/>
            <rFont val="Tahoma"/>
            <family val="2"/>
            <charset val="238"/>
          </rPr>
          <t xml:space="preserve"> zpracování je nutné pro ochranu životně důležitých zájmů subjektu údajů nebo jiné fyzické osoby v případě, že subjekt údajů není fyzicky nebo právně způsobilý udělit souhlas
</t>
        </r>
        <r>
          <rPr>
            <b/>
            <sz val="9"/>
            <color indexed="81"/>
            <rFont val="Tahoma"/>
            <family val="2"/>
            <charset val="238"/>
          </rPr>
          <t>9/2d)</t>
        </r>
        <r>
          <rPr>
            <sz val="9"/>
            <color indexed="81"/>
            <rFont val="Tahoma"/>
            <family val="2"/>
            <charset val="238"/>
          </rPr>
          <t xml:space="preserve"> zpracování provádí v rámci svých oprávněných činností a s vhodnými zárukami nadace, sdružení nebo jiný neziskový subjekt, který sleduje politické, filozofické, náboženské nebo odborové cíle, a za podmínky, že se zpracování vztahuje pouze na současné nebo bývalé členy tohoto subjektu nebo na osoby, které s ním udržují pravidelné styky související s jeho cíli, a že tyto osobní údaje nejsou bez souhlasu subjektu údajů zpřístupňovány mimo tento subjekt
</t>
        </r>
        <r>
          <rPr>
            <b/>
            <sz val="9"/>
            <color indexed="81"/>
            <rFont val="Tahoma"/>
            <family val="2"/>
            <charset val="238"/>
          </rPr>
          <t>9/2e)</t>
        </r>
        <r>
          <rPr>
            <sz val="9"/>
            <color indexed="81"/>
            <rFont val="Tahoma"/>
            <family val="2"/>
            <charset val="238"/>
          </rPr>
          <t xml:space="preserve"> zpracování se týká osobních údajů zjevně zveřejněných subjektem údajů
</t>
        </r>
        <r>
          <rPr>
            <b/>
            <sz val="9"/>
            <color indexed="81"/>
            <rFont val="Tahoma"/>
            <family val="2"/>
            <charset val="238"/>
          </rPr>
          <t>9/2f)</t>
        </r>
        <r>
          <rPr>
            <sz val="9"/>
            <color indexed="81"/>
            <rFont val="Tahoma"/>
            <family val="2"/>
            <charset val="238"/>
          </rPr>
          <t xml:space="preserve"> zpracování je nezbytné pro určení, výkon nebo obhajobu právních nároků nebo pokud soudy jednají v rámci svých soudních pravomocí
</t>
        </r>
        <r>
          <rPr>
            <b/>
            <sz val="9"/>
            <color indexed="81"/>
            <rFont val="Tahoma"/>
            <family val="2"/>
            <charset val="238"/>
          </rPr>
          <t>9/2g)</t>
        </r>
        <r>
          <rPr>
            <sz val="9"/>
            <color indexed="81"/>
            <rFont val="Tahoma"/>
            <family val="2"/>
            <charset val="238"/>
          </rPr>
          <t xml:space="preserve"> zpracování je nezbytné z důvodu významného veřejného zájmu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9/2h)</t>
        </r>
        <r>
          <rPr>
            <sz val="9"/>
            <color indexed="81"/>
            <rFont val="Tahoma"/>
            <family val="2"/>
            <charset val="238"/>
          </rPr>
          <t xml:space="preserve"> zpracování je nezbytné pro účely preventivního nebo pracovního lékařství, pro posouzení pracovní schopnosti zaměstnance, lékařské diagnostiky, poskytování zdravotní nebo sociální péče či léčby nebo řízení systémů a služeb zdravotní nebo sociální péče na základě práva Unie nebo členského státu nebo podle smlouvy se zdravotnickým pracovníkem a při splnění podmínek a záruk uvedených v odstavci 4
</t>
        </r>
        <r>
          <rPr>
            <b/>
            <sz val="9"/>
            <color indexed="81"/>
            <rFont val="Tahoma"/>
            <family val="2"/>
            <charset val="238"/>
          </rPr>
          <t xml:space="preserve">9/2i) </t>
        </r>
        <r>
          <rPr>
            <sz val="9"/>
            <color indexed="81"/>
            <rFont val="Tahoma"/>
            <family val="2"/>
            <charset val="238"/>
          </rPr>
          <t xml:space="preserve">zpracování je nezbytné z důvodů veřejného zájmu v oblasti veřejného zdraví, jako je ochrana před vážnými přeshraničními zdravotními hrozbami nebo zajištění přísných norem kvality a bezpečnosti zdravotní péče a léčivých přípravků nebo zdravotnických prostředků, na základě práva Unie nebo členského státu, které stanoví odpovídající a zvláštní opatření pro zajištění práv a svobod subjektu údajů, zejména služebního tajemství
</t>
        </r>
        <r>
          <rPr>
            <b/>
            <sz val="9"/>
            <color indexed="81"/>
            <rFont val="Tahoma"/>
            <family val="2"/>
            <charset val="238"/>
          </rPr>
          <t>9/2j)</t>
        </r>
        <r>
          <rPr>
            <sz val="9"/>
            <color indexed="81"/>
            <rFont val="Tahoma"/>
            <family val="2"/>
            <charset val="238"/>
          </rPr>
          <t xml:space="preserve"> zpracování je nezbytné pro účely archivace ve veřejném zájmu, pro účely vědeckého či historického výzkumu nebo pro statistické účely v souladu s čl. 89 odst. 1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 xml:space="preserve">9/4 </t>
        </r>
        <r>
          <rPr>
            <sz val="9"/>
            <color indexed="81"/>
            <rFont val="Tahoma"/>
            <family val="2"/>
            <charset val="238"/>
          </rPr>
          <t>Členské státy mohou zachovat nebo zavést další podmínky, včetně omezení, pokud jde o zpracování genetických údajů, biometrických údajů či údajů o zdravotním stavu.</t>
        </r>
      </text>
    </comment>
    <comment ref="C22" authorId="0" shapeId="0" xr:uid="{00000000-0006-0000-0300-000014000000}">
      <text>
        <r>
          <rPr>
            <sz val="9"/>
            <color indexed="81"/>
            <rFont val="Tahoma"/>
            <family val="2"/>
            <charset val="238"/>
          </rPr>
          <t xml:space="preserve">Uveďte, zda provádíte zpracování OÚ týkajících se rozsudků v trestních věcech a trestných činůpodle čl. 10 GDPR.
</t>
        </r>
        <r>
          <rPr>
            <b/>
            <i/>
            <sz val="9"/>
            <color indexed="81"/>
            <rFont val="Tahoma"/>
            <family val="2"/>
            <charset val="238"/>
          </rPr>
          <t xml:space="preserve">Zpracování osobních údajů týkajících se rozsudků v trestních věcech a trestných činů či souvisejících bezpečnostních opatření na základě čl. 6 odst. 1 se může provádět pouze pod dozorem orgánu veřejné moci nebo pokud je oprávněné podle práva Unie nebo členského státu poskytujícího vhodné záruky, pokud jde o práva a svobody subjektů údajů. Jakýkoli souhrnný rejstřík trestů může být veden pouze pod dozorem orgánu veřejné moci. </t>
        </r>
        <r>
          <rPr>
            <sz val="9"/>
            <color indexed="81"/>
            <rFont val="Tahoma"/>
            <family val="2"/>
            <charset val="238"/>
          </rPr>
          <t>(čl. 10 GDPR)</t>
        </r>
      </text>
    </comment>
    <comment ref="C23" authorId="0" shapeId="0" xr:uid="{00000000-0006-0000-0300-000015000000}">
      <text>
        <r>
          <rPr>
            <sz val="9"/>
            <color indexed="81"/>
            <rFont val="Tahoma"/>
            <family val="2"/>
            <charset val="238"/>
          </rPr>
          <t xml:space="preserve">Uveďte přesný účel, pro který jsou osobní údaje v ř. 17, 20 a 22 zpracovávány. Pokud jsou některé druhy osobních údajů v rámci téhož zpracování zpracovávány za jiným účelem, podrobně tyto informace rozepište. 
</t>
        </r>
        <r>
          <rPr>
            <b/>
            <i/>
            <sz val="9"/>
            <color indexed="81"/>
            <rFont val="Tahoma"/>
            <family val="2"/>
            <charset val="238"/>
          </rPr>
          <t>Osobní údaje musí být:
b) shromažďovány pro určité, výslovně vyjádřené a legitimní účely a nesmějí být dále zpracovávány způsobem, který je s těmito účely neslučitelný; další zpracování pro účely archivace ve veřejném zájmu, pro účely vědeckého či historického výzkumu nebo pro statistické účely se podle čl. 89 odst. 1 nepovažuje za neslučitelné s původními účely („účelové omezení“)</t>
        </r>
        <r>
          <rPr>
            <sz val="9"/>
            <color indexed="81"/>
            <rFont val="Tahoma"/>
            <family val="2"/>
            <charset val="238"/>
          </rPr>
          <t xml:space="preserve"> (čl. 5 odst. 1 písm. b) GDPR).
</t>
        </r>
      </text>
    </comment>
    <comment ref="C24" authorId="0" shapeId="0" xr:uid="{00000000-0006-0000-0300-000016000000}">
      <text>
        <r>
          <rPr>
            <sz val="9"/>
            <color indexed="81"/>
            <rFont val="Tahoma"/>
            <family val="2"/>
            <charset val="238"/>
          </rPr>
          <t xml:space="preserve">Uveďte jednotlivé kategorie subjektu údajů, které budou předmětem zpracování osobních údajů (např. vlastní zaměstnanci, návštěvníci, pojištěnci, zaměstnanci dodavatelů služeb, dlužníci, ….).
</t>
        </r>
      </text>
    </comment>
    <comment ref="C25" authorId="0" shapeId="0" xr:uid="{00000000-0006-0000-0300-000017000000}">
      <text>
        <r>
          <rPr>
            <sz val="9"/>
            <color indexed="81"/>
            <rFont val="Tahoma"/>
            <family val="2"/>
            <charset val="238"/>
          </rPr>
          <t>Zvolte jednu z možných kategorií předávání osobních údajů do zahraničí.</t>
        </r>
      </text>
    </comment>
    <comment ref="C26" authorId="0" shapeId="0" xr:uid="{00000000-0006-0000-0300-000018000000}">
      <text>
        <r>
          <rPr>
            <sz val="9"/>
            <color indexed="81"/>
            <rFont val="Tahoma"/>
            <family val="2"/>
            <charset val="238"/>
          </rPr>
          <t>Uveďte dobu, po kterou budou osobní údaje uchovány a není-li ji možné určit, kritéria použitá ke stanovení této doby. Doba může být vyjádřena rovněž uplynutím určité události (např. 2 roky od zakoupení zboží).</t>
        </r>
      </text>
    </comment>
    <comment ref="C27" authorId="0" shapeId="0" xr:uid="{00000000-0006-0000-0300-000019000000}">
      <text>
        <r>
          <rPr>
            <sz val="9"/>
            <color indexed="81"/>
            <rFont val="Tahoma"/>
            <family val="2"/>
            <charset val="238"/>
          </rPr>
          <t xml:space="preserve">Uveďte právní důvod doby uchovávání OÚ Odkazem na příslušné ustanovení obecně závazného právního předpisu) a není-li dán, pak vlastní odůvodnění doby uložení OÚ.
</t>
        </r>
      </text>
    </comment>
    <comment ref="C28" authorId="0" shapeId="0" xr:uid="{00000000-0006-0000-0300-00001A000000}">
      <text>
        <r>
          <rPr>
            <sz val="9"/>
            <color indexed="81"/>
            <rFont val="Tahoma"/>
            <family val="2"/>
            <charset val="238"/>
          </rPr>
          <t>Vyplňte pouze v případě, že osobní údaje jsou ukládány v listinné podobě nebo na externích nosičích (DVD, flash disk, …), např. budova B, 1PP, archiv nebo kancelář č. 236 apod.</t>
        </r>
      </text>
    </comment>
    <comment ref="C29" authorId="0" shapeId="0" xr:uid="{00000000-0006-0000-0300-00001B000000}">
      <text>
        <r>
          <rPr>
            <b/>
            <i/>
            <sz val="9"/>
            <color indexed="81"/>
            <rFont val="Tahoma"/>
            <family val="2"/>
            <charset val="238"/>
          </rPr>
          <t>„Profilováním“ se rozumí jakákoli forma automatizovaného zpracování osobních údajů spočívající v jejich použití k hodnocení některých osobních aspektů vztahujících se k fyzické osobě, zejména k rozboru nebo odhadu aspektů týkajících se jejího pracovního výkonu, ekonomické situace, zdravotního stavu, osobních preferencí, zájmů, spolehlivosti, chování, místa, kde se nachází, nebo pohybu.</t>
        </r>
        <r>
          <rPr>
            <sz val="9"/>
            <color indexed="81"/>
            <rFont val="Tahoma"/>
            <family val="2"/>
            <charset val="238"/>
          </rPr>
          <t xml:space="preserve"> (čl. 4 odst. 4 GDPR)</t>
        </r>
      </text>
    </comment>
    <comment ref="C30" authorId="0" shapeId="0" xr:uid="{00000000-0006-0000-0300-00001C000000}">
      <text>
        <r>
          <rPr>
            <sz val="9"/>
            <color indexed="81"/>
            <rFont val="Tahoma"/>
            <family val="2"/>
            <charset val="238"/>
          </rPr>
          <t xml:space="preserve">Uveďte, zda je dán důvod pro posouzení vlivu na OOÚ.
</t>
        </r>
        <r>
          <rPr>
            <b/>
            <i/>
            <sz val="9"/>
            <color indexed="81"/>
            <rFont val="Tahoma"/>
            <family val="2"/>
            <charset val="238"/>
          </rPr>
          <t xml:space="preserve">Pokud je pravděpodobné, že určitý druh zpracování, zejména při využití nových technologií, bude s přihlédnutím k povaze, rozsahu, kontextu a účelům zpracování bude mít za následek vysoké riziko pro práva a svobody fyzických osob, provede správce před zpracováním posouzení vlivu zamýšlených operací zpracování na ochranu osobních údajů. Pro soubor podobných operací zpracování, které představují podobné riziko, může stačit jedno posouzení. </t>
        </r>
        <r>
          <rPr>
            <sz val="9"/>
            <color indexed="81"/>
            <rFont val="Tahoma"/>
            <family val="2"/>
            <charset val="238"/>
          </rPr>
          <t xml:space="preserve">(čl. 35 odst. 1 GDPR)
</t>
        </r>
      </text>
    </comment>
    <comment ref="C31" authorId="0" shapeId="0" xr:uid="{00000000-0006-0000-0300-00001D000000}">
      <text>
        <r>
          <rPr>
            <sz val="9"/>
            <color indexed="81"/>
            <rFont val="Tahoma"/>
            <family val="2"/>
            <charset val="238"/>
          </rPr>
          <t xml:space="preserve">Uveďte, zda bylo provedeno posouzení vlivu na OOÚ.
</t>
        </r>
      </text>
    </comment>
    <comment ref="C32" authorId="0" shapeId="0" xr:uid="{00000000-0006-0000-0300-00001E000000}">
      <text>
        <r>
          <rPr>
            <sz val="9"/>
            <color indexed="81"/>
            <rFont val="Tahoma"/>
            <family val="2"/>
            <charset val="238"/>
          </rPr>
          <t xml:space="preserve">Uvede se existence společného správce ve smyslu čl. 26 odst. 1 GDPR.
</t>
        </r>
        <r>
          <rPr>
            <b/>
            <i/>
            <sz val="9"/>
            <color indexed="81"/>
            <rFont val="Tahoma"/>
            <family val="2"/>
            <charset val="238"/>
          </rPr>
          <t>Pokud účely a prostředky zpracování stanoví společně dva nebo více správců, jsou společnými správci. Společní správci mezi sebou transparentním ujednáním vymezí své podíly na odpovědnosti za plnění povinností podle tohoto nařízení, zejména pokud jde o výkon práv subjektu údajů, a své povinnosti poskytovat informace uvedené v článcích 13 a 14, pokud tuto odpovědnost správců nestanoví právo Unie nebo členského státu, které se na správce vztahuje. V ujednání může být určeno kontaktní místo pro subjekty údajů.</t>
        </r>
        <r>
          <rPr>
            <i/>
            <sz val="9"/>
            <color indexed="81"/>
            <rFont val="Tahoma"/>
            <family val="2"/>
            <charset val="238"/>
          </rPr>
          <t xml:space="preserve"> (čl. odst. 1 GDPR)</t>
        </r>
      </text>
    </comment>
    <comment ref="C34" authorId="0" shapeId="0" xr:uid="{00000000-0006-0000-0300-00001F000000}">
      <text>
        <r>
          <rPr>
            <sz val="9"/>
            <color indexed="81"/>
            <rFont val="Tahoma"/>
            <family val="2"/>
            <charset val="238"/>
          </rPr>
          <t xml:space="preserve">Zpracovatel ve smyslu čl. 28 GDPR, tedy jakýkoliv jiný subjekt, než subjekt uvedený v listu "Úvod". Zpracovatelem není zaměstnanec správce.
</t>
        </r>
        <r>
          <rPr>
            <b/>
            <i/>
            <sz val="9"/>
            <color indexed="81"/>
            <rFont val="Tahoma"/>
            <family val="2"/>
            <charset val="238"/>
          </rPr>
          <t>„zpracovatelem“ fyzická nebo právnická osoba, orgán veřejné moci, agentura nebo jiný subjekt, který zpracovává osobní údaje pro správce</t>
        </r>
        <r>
          <rPr>
            <sz val="9"/>
            <color indexed="81"/>
            <rFont val="Tahoma"/>
            <family val="2"/>
            <charset val="238"/>
          </rPr>
          <t xml:space="preserve"> (čl. 4 odst. 8 GDPR)</t>
        </r>
      </text>
    </comment>
    <comment ref="C35" authorId="0" shapeId="0" xr:uid="{00000000-0006-0000-0300-000020000000}">
      <text>
        <r>
          <rPr>
            <sz val="9"/>
            <color indexed="81"/>
            <rFont val="Tahoma"/>
            <family val="2"/>
            <charset val="238"/>
          </rPr>
          <t>Uveďte počet zpracovatelů, kteří se podílení na zpracování, které je předmětem tohoto check listu.</t>
        </r>
      </text>
    </comment>
    <comment ref="C38" authorId="0" shapeId="0" xr:uid="{00000000-0006-0000-0300-000021000000}">
      <text>
        <r>
          <rPr>
            <sz val="9"/>
            <color indexed="81"/>
            <rFont val="Tahoma"/>
            <family val="2"/>
            <charset val="238"/>
          </rPr>
          <t>Pro vyplnění buněk C38 - C40 použijte údaje z obchodního nebo jiného rejstříku.</t>
        </r>
      </text>
    </comment>
    <comment ref="C41" authorId="0" shapeId="0" xr:uid="{00000000-0006-0000-0300-000022000000}">
      <text>
        <r>
          <rPr>
            <sz val="9"/>
            <color indexed="81"/>
            <rFont val="Tahoma"/>
            <family val="2"/>
            <charset val="238"/>
          </rPr>
          <t>Osoba odpovědná za zpracování osobních údajů (např. dle smlouvy o zpracování osobních údajů).</t>
        </r>
      </text>
    </comment>
    <comment ref="C44" authorId="0" shapeId="0" xr:uid="{00000000-0006-0000-0300-000023000000}">
      <text>
        <r>
          <rPr>
            <sz val="9"/>
            <color indexed="81"/>
            <rFont val="Tahoma"/>
            <family val="2"/>
            <charset val="238"/>
          </rPr>
          <t>Použijte jednu z nabízených možností.</t>
        </r>
      </text>
    </comment>
    <comment ref="C45" authorId="0" shapeId="0" xr:uid="{00000000-0006-0000-0300-000024000000}">
      <text>
        <r>
          <rPr>
            <sz val="9"/>
            <color indexed="81"/>
            <rFont val="Tahoma"/>
            <family val="2"/>
            <charset val="238"/>
          </rPr>
          <t>Uveďte ustanovení příslušného právního předpisu.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Vladimír Nesvadba</author>
  </authors>
  <commentList>
    <comment ref="C2" authorId="0" shapeId="0" xr:uid="{00000000-0006-0000-0400-000001000000}">
      <text>
        <r>
          <rPr>
            <sz val="9"/>
            <color indexed="81"/>
            <rFont val="Tahoma"/>
            <family val="2"/>
            <charset val="238"/>
          </rPr>
          <t>Uveďte název zpracování, který nejlépe vystihuje agendu, v níž jsou osobní údaje zpracovány. Název zpracování se bude používat v navazujících dokumentech.</t>
        </r>
        <r>
          <rPr>
            <sz val="9"/>
            <color indexed="81"/>
            <rFont val="Tahoma"/>
            <family val="2"/>
            <charset val="238"/>
          </rPr>
          <t xml:space="preserve">
</t>
        </r>
      </text>
    </comment>
    <comment ref="C3" authorId="0" shapeId="0" xr:uid="{00000000-0006-0000-0400-000002000000}">
      <text>
        <r>
          <rPr>
            <sz val="9"/>
            <color indexed="81"/>
            <rFont val="Tahoma"/>
            <family val="2"/>
            <charset val="238"/>
          </rPr>
          <t xml:space="preserve">Každé zpracování označte jedinečným označením (forma číslování není stanovena). Číslo pak použijte v názvu daného listu, např. "35".
</t>
        </r>
      </text>
    </comment>
    <comment ref="C4" authorId="0" shapeId="0" xr:uid="{00000000-0006-0000-0400-000003000000}">
      <text>
        <r>
          <rPr>
            <sz val="9"/>
            <color indexed="81"/>
            <rFont val="Tahoma"/>
            <family val="2"/>
            <charset val="238"/>
          </rPr>
          <t>Organizační jednotkou je myšlena součást subjektu, který zpracování provádí (např. ekonomický odbor, personální oddělení apod.). Nejsou-li organizační jednotky zavedeny, údaj se nevyplňuje.</t>
        </r>
      </text>
    </comment>
    <comment ref="C5" authorId="0" shapeId="0" xr:uid="{00000000-0006-0000-0400-000004000000}">
      <text>
        <r>
          <rPr>
            <sz val="9"/>
            <color indexed="81"/>
            <rFont val="Tahoma"/>
            <family val="2"/>
            <charset val="238"/>
          </rPr>
          <t>Vyplní se pouze v případě, že organizační jednotka má přidělené vlastní číslo, pod kterým je v příslušných interních aktech řízení uváděna.</t>
        </r>
      </text>
    </comment>
    <comment ref="C6" authorId="0" shapeId="0" xr:uid="{00000000-0006-0000-0400-000005000000}">
      <text>
        <r>
          <rPr>
            <sz val="9"/>
            <color indexed="81"/>
            <rFont val="Tahoma"/>
            <family val="2"/>
            <charset val="238"/>
          </rPr>
          <t xml:space="preserve">Odpovědná osoba za danou oblast zpracování (uveďte </t>
        </r>
        <r>
          <rPr>
            <b/>
            <sz val="9"/>
            <color indexed="81"/>
            <rFont val="Tahoma"/>
            <family val="2"/>
            <charset val="238"/>
          </rPr>
          <t>titul, jméno, příjmení, pracovní pozici</t>
        </r>
        <r>
          <rPr>
            <sz val="9"/>
            <color indexed="81"/>
            <rFont val="Tahoma"/>
            <family val="2"/>
            <charset val="238"/>
          </rPr>
          <t xml:space="preserve">). Uvedená osoba by měla být současně respondentem tohoto check listu. </t>
        </r>
      </text>
    </comment>
    <comment ref="C7" authorId="0" shapeId="0" xr:uid="{00000000-0006-0000-0400-000006000000}">
      <text>
        <r>
          <rPr>
            <sz val="9"/>
            <color indexed="81"/>
            <rFont val="Tahoma"/>
            <family val="2"/>
            <charset val="238"/>
          </rPr>
          <t xml:space="preserve">Uveďte pracovní e-mail odpovědné osoby.
</t>
        </r>
      </text>
    </comment>
    <comment ref="C8" authorId="0" shapeId="0" xr:uid="{00000000-0006-0000-0400-000007000000}">
      <text>
        <r>
          <rPr>
            <sz val="9"/>
            <color indexed="81"/>
            <rFont val="Tahoma"/>
            <family val="2"/>
            <charset val="238"/>
          </rPr>
          <t xml:space="preserve">Uveďte pracovní telefonní číslo
odpovědné osoby.
</t>
        </r>
      </text>
    </comment>
    <comment ref="C9" authorId="0" shapeId="0" xr:uid="{00000000-0006-0000-0400-000008000000}">
      <text>
        <r>
          <rPr>
            <sz val="9"/>
            <color indexed="81"/>
            <rFont val="Tahoma"/>
            <family val="2"/>
            <charset val="238"/>
          </rPr>
          <t>Uveďte výčet pracovních pozic spolu se zařazením do organizačních jednotek, které jsou oprávněny zpracovávat předmětné OÚ.</t>
        </r>
      </text>
    </comment>
    <comment ref="C10" authorId="0" shapeId="0" xr:uid="{00000000-0006-0000-0400-000009000000}">
      <text>
        <r>
          <rPr>
            <sz val="9"/>
            <color indexed="81"/>
            <rFont val="Tahoma"/>
            <family val="2"/>
            <charset val="238"/>
          </rPr>
          <t xml:space="preserve">Uveďte, zda bude příjemce OÚ jen správce nebo jiné osoby, které specifikujte (např. ČSSZ, ostatní zdravotní pojištovny, smluvní partneři atd.) 
</t>
        </r>
        <r>
          <rPr>
            <b/>
            <i/>
            <sz val="9"/>
            <color indexed="81"/>
            <rFont val="Tahoma"/>
            <family val="2"/>
            <charset val="238"/>
          </rPr>
          <t xml:space="preserve">„příjemcem“ fyzická nebo právnická osoba, orgán veřejné moci, agentura nebo jiný subjekt, kterým jsou osobní údaje poskytnuty, ať už se jedná o třetí stranu, či nikoli. Avšak orgány veřejné moci, které mohou získávat osobní údaje v rámci zvláštního šetření v souladu s právem členského státu, se za příjemce nepovažují; zpracování těchto osobních údajů těmito orgány veřejné moci musí být v souladu s použitelnými pravidly ochrany údajů pro dané účely zpracování </t>
        </r>
        <r>
          <rPr>
            <i/>
            <sz val="9"/>
            <color indexed="81"/>
            <rFont val="Tahoma"/>
            <family val="2"/>
            <charset val="238"/>
          </rPr>
          <t>(čl. 4 odst. 9 GDPR)</t>
        </r>
      </text>
    </comment>
    <comment ref="C12" authorId="0" shapeId="0" xr:uid="{00000000-0006-0000-0400-00000A000000}">
      <text>
        <r>
          <rPr>
            <sz val="9"/>
            <color indexed="81"/>
            <rFont val="Tahoma"/>
            <family val="2"/>
            <charset val="238"/>
          </rPr>
          <t xml:space="preserve">Uvede se počet subjektů údajů (v řádech tisíců), k nimž se OÚ zpracovávají, např. "12000". </t>
        </r>
      </text>
    </comment>
    <comment ref="C13" authorId="0" shapeId="0" xr:uid="{00000000-0006-0000-0400-00000B000000}">
      <text>
        <r>
          <rPr>
            <sz val="9"/>
            <color indexed="81"/>
            <rFont val="Tahoma"/>
            <family val="2"/>
            <charset val="238"/>
          </rPr>
          <t>Uveďte všechna místa zpracování, pokud jsou odlišná od sídla uvedeného na listu "Úvod". Uveďte přesné adresy a stát, pokud není místo v České republice.</t>
        </r>
      </text>
    </comment>
    <comment ref="C14" authorId="0" shapeId="0" xr:uid="{00000000-0006-0000-0400-00000C000000}">
      <text>
        <r>
          <rPr>
            <sz val="9"/>
            <color indexed="81"/>
            <rFont val="Tahoma"/>
            <family val="2"/>
            <charset val="238"/>
          </rPr>
          <t xml:space="preserve">Uveďte, z jakých zdrojů OÚ shromažďujete:
- </t>
        </r>
        <r>
          <rPr>
            <b/>
            <sz val="9"/>
            <color indexed="81"/>
            <rFont val="Tahoma"/>
            <family val="2"/>
            <charset val="238"/>
          </rPr>
          <t>od subjektu údajů</t>
        </r>
        <r>
          <rPr>
            <sz val="9"/>
            <color indexed="81"/>
            <rFont val="Tahoma"/>
            <family val="2"/>
            <charset val="238"/>
          </rPr>
          <t xml:space="preserve">
- </t>
        </r>
        <r>
          <rPr>
            <b/>
            <sz val="9"/>
            <color indexed="81"/>
            <rFont val="Tahoma"/>
            <family val="2"/>
            <charset val="238"/>
          </rPr>
          <t>z veřejných zdrojů</t>
        </r>
        <r>
          <rPr>
            <sz val="9"/>
            <color indexed="81"/>
            <rFont val="Tahoma"/>
            <family val="2"/>
            <charset val="238"/>
          </rPr>
          <t xml:space="preserve"> (specifikujte z jakých zdrojů)
- </t>
        </r>
        <r>
          <rPr>
            <b/>
            <sz val="9"/>
            <color indexed="81"/>
            <rFont val="Tahoma"/>
            <family val="2"/>
            <charset val="238"/>
          </rPr>
          <t>z jiných zdrojů</t>
        </r>
        <r>
          <rPr>
            <sz val="9"/>
            <color indexed="81"/>
            <rFont val="Tahoma"/>
            <family val="2"/>
            <charset val="238"/>
          </rPr>
          <t xml:space="preserve"> (specifikujte z jakých zdrojů)</t>
        </r>
      </text>
    </comment>
    <comment ref="C15" authorId="0" shapeId="0" xr:uid="{00000000-0006-0000-0400-00000D000000}">
      <text>
        <r>
          <rPr>
            <sz val="9"/>
            <color indexed="81"/>
            <rFont val="Tahoma"/>
            <family val="2"/>
            <charset val="238"/>
          </rPr>
          <t>Vyberte jeden z nabízených způsobů zpracování. 
V systémech automatizovaného zpracování by omezení zpracování mělo být v zásadě zajištěno technickými prostředky tak, aby se na osobní údaje již nevztahovaly žádné další operace zpracování a aby nemohly být změněny.
Neautomatizovaným zpracováním se rozumí manuální zpracování zejména v listinné podobě.</t>
        </r>
      </text>
    </comment>
    <comment ref="C16" authorId="0" shapeId="0" xr:uid="{00000000-0006-0000-0400-00000E000000}">
      <text>
        <r>
          <rPr>
            <sz val="9"/>
            <color indexed="81"/>
            <rFont val="Tahoma"/>
            <family val="2"/>
            <charset val="238"/>
          </rPr>
          <t xml:space="preserve">Uveďte, zda provádíte přeshraniční zpracování OÚ dle níže uvedené definice přeshraničního zpracování.
</t>
        </r>
        <r>
          <rPr>
            <b/>
            <i/>
            <sz val="9"/>
            <color indexed="81"/>
            <rFont val="Tahoma"/>
            <family val="2"/>
            <charset val="238"/>
          </rPr>
          <t xml:space="preserve">„přeshraničním zpracováním“ buď: 
a) zpracování osobních údajů, které probíhá v souvislosti s činnostmi provozoven ve více než jednom členském státě správce či zpracovatele v Unii, je-li tento správce či zpracovatel usazen ve více než jednom členském státě; nebo 
b) zpracování osobních údajů, které probíhá v souvislosti s činnostmi jediné provozovny správce či zpracovatele v Unii, ale kterým jsou nebo pravděpodobně budou podstatně dotčeny subjekty údajů ve více než jednom členském státě </t>
        </r>
        <r>
          <rPr>
            <sz val="9"/>
            <color indexed="81"/>
            <rFont val="Tahoma"/>
            <family val="2"/>
            <charset val="238"/>
          </rPr>
          <t>(čl. 4 odst. 23 GDPR)</t>
        </r>
      </text>
    </comment>
    <comment ref="C17" authorId="0" shapeId="0" xr:uid="{00000000-0006-0000-0400-00000F000000}">
      <text>
        <r>
          <rPr>
            <sz val="9"/>
            <color indexed="81"/>
            <rFont val="Tahoma"/>
            <family val="2"/>
            <charset val="238"/>
          </rPr>
          <t xml:space="preserve">Vypište všechny informace o fyzické osobě, které v souvislosti s předmětným zpracováním OÚ shromažďujete (např. titul, jméno, příjmení, r.č., bydliště, čísla dokladů, číslo účtu, fotografie, telefonní číslo, e-mailová adresa, osobní evidenční číslo atd.). 
</t>
        </r>
        <r>
          <rPr>
            <b/>
            <i/>
            <sz val="9"/>
            <color indexed="81"/>
            <rFont val="Tahoma"/>
            <family val="2"/>
            <charset val="238"/>
          </rPr>
          <t>„Osobními údaji“ jsou veškeré informace o identifikované nebo identifikovatelné fyzické osobě (dále jen „subjekt údajů“); identifikovatelnou fyzickou osobou je fyzická osoba, kterou lze přímo či nepřímo identifikovat, zejména odkazem na určitý identifikátor, například jméno, identifikační číslo, lokační údaje, síťový identifikátor nebo na jeden či více zvláštních prvků fyzické, fyziologické, genetické, psychické, ekonomické, kulturní nebo společenské identity této fyzické osoby.</t>
        </r>
        <r>
          <rPr>
            <sz val="9"/>
            <color indexed="81"/>
            <rFont val="Tahoma"/>
            <family val="2"/>
            <charset val="238"/>
          </rPr>
          <t xml:space="preserve"> (čl. 4 odst. 1 GDPR)</t>
        </r>
      </text>
    </comment>
    <comment ref="C18" authorId="0" shapeId="0" xr:uid="{00000000-0006-0000-0400-000010000000}">
      <text>
        <r>
          <rPr>
            <sz val="9"/>
            <color indexed="81"/>
            <rFont val="Tahoma"/>
            <family val="2"/>
            <charset val="238"/>
          </rPr>
          <t xml:space="preserve">Uveďte příslušná písmena z čl. 6 odst. 1 GDPR, na základě kterých jsou OÚ zpracovávány (např. </t>
        </r>
        <r>
          <rPr>
            <b/>
            <sz val="9"/>
            <color indexed="81"/>
            <rFont val="Tahoma"/>
            <family val="2"/>
            <charset val="238"/>
          </rPr>
          <t>a,c</t>
        </r>
        <r>
          <rPr>
            <sz val="9"/>
            <color indexed="81"/>
            <rFont val="Tahoma"/>
            <family val="2"/>
            <charset val="238"/>
          </rPr>
          <t>)</t>
        </r>
        <r>
          <rPr>
            <b/>
            <sz val="9"/>
            <color indexed="81"/>
            <rFont val="Tahoma"/>
            <family val="2"/>
            <charset val="238"/>
          </rPr>
          <t xml:space="preserve">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c - § 36 a násl. z.č. 257/2016</t>
        </r>
        <r>
          <rPr>
            <sz val="9"/>
            <color indexed="81"/>
            <rFont val="Tahoma"/>
            <family val="2"/>
            <charset val="238"/>
          </rPr>
          <t xml:space="preserve">).
</t>
        </r>
        <r>
          <rPr>
            <u/>
            <sz val="9"/>
            <color indexed="81"/>
            <rFont val="Tahoma"/>
            <family val="2"/>
            <charset val="238"/>
          </rPr>
          <t xml:space="preserve">Podmínky pro zpracování OÚ:
</t>
        </r>
        <r>
          <rPr>
            <sz val="9"/>
            <color indexed="81"/>
            <rFont val="Tahoma"/>
            <family val="2"/>
            <charset val="238"/>
          </rPr>
          <t xml:space="preserve">Zpracování je zákonné, pouze pokud je splněna nejméně jedna z těchto podmínek a pouze v odpovídajícím rozsahu: 
</t>
        </r>
        <r>
          <rPr>
            <b/>
            <sz val="9"/>
            <color indexed="81"/>
            <rFont val="Tahoma"/>
            <family val="2"/>
            <charset val="238"/>
          </rPr>
          <t>6/1a)</t>
        </r>
        <r>
          <rPr>
            <sz val="9"/>
            <color indexed="81"/>
            <rFont val="Tahoma"/>
            <family val="2"/>
            <charset val="238"/>
          </rPr>
          <t xml:space="preserve"> subjekt údajů udělil souhlas se zpracováním svých osobních údajů pro jeden či více konkrétních účelů
</t>
        </r>
        <r>
          <rPr>
            <b/>
            <sz val="9"/>
            <color indexed="81"/>
            <rFont val="Tahoma"/>
            <family val="2"/>
            <charset val="238"/>
          </rPr>
          <t>6/1b)</t>
        </r>
        <r>
          <rPr>
            <sz val="9"/>
            <color indexed="81"/>
            <rFont val="Tahoma"/>
            <family val="2"/>
            <charset val="238"/>
          </rPr>
          <t xml:space="preserve"> zpracování je nezbytné pro splnění smlouvy, jejíž smluvní stranou je subjekt údajů, nebo pro provedení opatření přijatých před uzavřením smlouvy na žádost tohoto subjektu údajů
</t>
        </r>
        <r>
          <rPr>
            <b/>
            <sz val="9"/>
            <color indexed="81"/>
            <rFont val="Tahoma"/>
            <family val="2"/>
            <charset val="238"/>
          </rPr>
          <t>6/1c)</t>
        </r>
        <r>
          <rPr>
            <sz val="9"/>
            <color indexed="81"/>
            <rFont val="Tahoma"/>
            <family val="2"/>
            <charset val="238"/>
          </rPr>
          <t xml:space="preserve"> zpracování je nezbytné pro splnění právní povinnosti, která se na správce vztahuje
</t>
        </r>
        <r>
          <rPr>
            <b/>
            <sz val="9"/>
            <color indexed="81"/>
            <rFont val="Tahoma"/>
            <family val="2"/>
            <charset val="238"/>
          </rPr>
          <t>6/1d)</t>
        </r>
        <r>
          <rPr>
            <sz val="9"/>
            <color indexed="81"/>
            <rFont val="Tahoma"/>
            <family val="2"/>
            <charset val="238"/>
          </rPr>
          <t xml:space="preserve"> zpracování je nezbytné pro ochranu životně důležitých zájmů subjektu údajů nebo jiné fyzické osoby
</t>
        </r>
        <r>
          <rPr>
            <b/>
            <sz val="9"/>
            <color indexed="81"/>
            <rFont val="Tahoma"/>
            <family val="2"/>
            <charset val="238"/>
          </rPr>
          <t>6/1e)</t>
        </r>
        <r>
          <rPr>
            <sz val="9"/>
            <color indexed="81"/>
            <rFont val="Tahoma"/>
            <family val="2"/>
            <charset val="238"/>
          </rPr>
          <t xml:space="preserve"> zpracování je nezbytné pro splnění úkolu prováděného ve veřejném zájmu nebo při výkonu veřejné moci, kterým je pověřen správce
</t>
        </r>
        <r>
          <rPr>
            <b/>
            <sz val="9"/>
            <color indexed="81"/>
            <rFont val="Tahoma"/>
            <family val="2"/>
            <charset val="238"/>
          </rPr>
          <t>6/1f)</t>
        </r>
        <r>
          <rPr>
            <sz val="9"/>
            <color indexed="81"/>
            <rFont val="Tahoma"/>
            <family val="2"/>
            <charset val="238"/>
          </rPr>
          <t xml:space="preserve"> zpracování je nezbytné pro účely oprávněných zájmů příslušného správce či třetí strany, kromě případů, kdy před těmito zájmy mají přednost zájmy nebo základní práva a svobody subjektu údajů vyžadující ochranu osobních údajů, zejména pokud je subjektem údajů dítě.
</t>
        </r>
      </text>
    </comment>
    <comment ref="C19" authorId="0" shapeId="0" xr:uid="{00000000-0006-0000-0400-000011000000}">
      <text>
        <r>
          <rPr>
            <sz val="9"/>
            <color indexed="81"/>
            <rFont val="Tahoma"/>
            <family val="2"/>
            <charset val="238"/>
          </rPr>
          <t xml:space="preserve">Uveďte, zda provádíte zpracování zvláštní kategorie OÚ uvedených v čl. 9 odst. 1  GDPR, tedy OÚ </t>
        </r>
        <r>
          <rPr>
            <u/>
            <sz val="9"/>
            <color indexed="81"/>
            <rFont val="Tahoma"/>
            <family val="2"/>
            <charset val="238"/>
          </rPr>
          <t>vypovídajících o:</t>
        </r>
        <r>
          <rPr>
            <sz val="9"/>
            <color indexed="81"/>
            <rFont val="Tahoma"/>
            <family val="2"/>
            <charset val="238"/>
          </rPr>
          <t xml:space="preserve">
</t>
        </r>
        <r>
          <rPr>
            <b/>
            <sz val="9"/>
            <color indexed="81"/>
            <rFont val="Tahoma"/>
            <family val="2"/>
            <charset val="238"/>
          </rPr>
          <t>rasovém či etnickém původu, 
politických názorech, 
náboženském vyznání či filozofickém přesvědčení 
členství v odborech,</t>
        </r>
        <r>
          <rPr>
            <sz val="9"/>
            <color indexed="81"/>
            <rFont val="Tahoma"/>
            <family val="2"/>
            <charset val="238"/>
          </rPr>
          <t xml:space="preserve">
</t>
        </r>
        <r>
          <rPr>
            <u/>
            <sz val="9"/>
            <color indexed="81"/>
            <rFont val="Tahoma"/>
            <family val="2"/>
            <charset val="238"/>
          </rPr>
          <t>zpracování:</t>
        </r>
        <r>
          <rPr>
            <sz val="9"/>
            <color indexed="81"/>
            <rFont val="Tahoma"/>
            <family val="2"/>
            <charset val="238"/>
          </rPr>
          <t xml:space="preserve">
</t>
        </r>
        <r>
          <rPr>
            <b/>
            <sz val="9"/>
            <color indexed="81"/>
            <rFont val="Tahoma"/>
            <family val="2"/>
            <charset val="238"/>
          </rPr>
          <t xml:space="preserve">genetických údajů nebo biometrických údajů za účelem jedinečné identifikace fyzické osoby 
údajů o zdravotním stavu 
údajů o sexuálním životě nebo sexuální orientaci fyzické osoby
</t>
        </r>
        <r>
          <rPr>
            <sz val="9"/>
            <color indexed="81"/>
            <rFont val="Tahoma"/>
            <family val="2"/>
            <charset val="238"/>
          </rPr>
          <t xml:space="preserve">
</t>
        </r>
        <r>
          <rPr>
            <b/>
            <i/>
            <sz val="9"/>
            <color indexed="81"/>
            <rFont val="Tahoma"/>
            <family val="2"/>
            <charset val="238"/>
          </rPr>
          <t>„genetickými údaji“ osobní údaje týkající se zděděných nebo získaných genetických znaků fyzické osoby, které poskytují jedinečné informace o její fyziologii či zdraví a které vyplývají zejména z analýzy biologického vzorku dotčené fyzické osoby</t>
        </r>
        <r>
          <rPr>
            <i/>
            <sz val="9"/>
            <color indexed="81"/>
            <rFont val="Tahoma"/>
            <family val="2"/>
            <charset val="238"/>
          </rPr>
          <t xml:space="preserve"> (čl. 4 odst. 13 GDPR)</t>
        </r>
        <r>
          <rPr>
            <b/>
            <i/>
            <sz val="9"/>
            <color indexed="81"/>
            <rFont val="Tahoma"/>
            <family val="2"/>
            <charset val="238"/>
          </rPr>
          <t xml:space="preserve">
„biometrickými údaji“ osobní údaje vyplývající z konkrétního technického zpracování týkající se fyzických či fyziologických znaků nebo znaků chování fyzické osoby, které umožňuje nebo potvrzuje jedinečnou identifikaci, například zobrazení obličeje nebo daktyloskopické údaje</t>
        </r>
        <r>
          <rPr>
            <i/>
            <sz val="9"/>
            <color indexed="81"/>
            <rFont val="Tahoma"/>
            <family val="2"/>
            <charset val="238"/>
          </rPr>
          <t xml:space="preserve"> (čl. 4 odst. 14 GDPR)</t>
        </r>
        <r>
          <rPr>
            <b/>
            <i/>
            <sz val="9"/>
            <color indexed="81"/>
            <rFont val="Tahoma"/>
            <family val="2"/>
            <charset val="238"/>
          </rPr>
          <t xml:space="preserve">
„údaji o zdravotním stavu“ osobní údaje týkající se tělesného nebo duševního zdraví fyzické osoby, včetně údajů o poskytnutí zdravotních služeb, které vypovídají o jejím zdravotním stavu</t>
        </r>
        <r>
          <rPr>
            <i/>
            <sz val="9"/>
            <color indexed="81"/>
            <rFont val="Tahoma"/>
            <family val="2"/>
            <charset val="238"/>
          </rPr>
          <t xml:space="preserve"> (čl. 4 odst. 15 GDPR)</t>
        </r>
        <r>
          <rPr>
            <b/>
            <i/>
            <sz val="9"/>
            <color indexed="81"/>
            <rFont val="Tahoma"/>
            <family val="2"/>
            <charset val="238"/>
          </rPr>
          <t xml:space="preserve">
</t>
        </r>
      </text>
    </comment>
    <comment ref="C20" authorId="0" shapeId="0" xr:uid="{00000000-0006-0000-0400-000012000000}">
      <text>
        <r>
          <rPr>
            <sz val="9"/>
            <color indexed="81"/>
            <rFont val="Tahoma"/>
            <family val="2"/>
            <charset val="238"/>
          </rPr>
          <t>Uveďte přesný druh (viz. nápověda k buňce C19).</t>
        </r>
      </text>
    </comment>
    <comment ref="C21" authorId="0" shapeId="0" xr:uid="{00000000-0006-0000-0400-000013000000}">
      <text>
        <r>
          <rPr>
            <sz val="9"/>
            <color indexed="81"/>
            <rFont val="Tahoma"/>
            <family val="2"/>
            <charset val="238"/>
          </rPr>
          <t xml:space="preserve">Uveďte příslušná písmena z čl. 9 odst. 2 GDPR nebo na čl. 9 odst. 4 GDPR, na základě kterých je zvláštní kategorie OÚ zpracovávána (např. </t>
        </r>
        <r>
          <rPr>
            <b/>
            <sz val="9"/>
            <color indexed="81"/>
            <rFont val="Tahoma"/>
            <family val="2"/>
            <charset val="238"/>
          </rPr>
          <t xml:space="preserve">a,c,4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b - § 36 a násl. z.č. 257/2016</t>
        </r>
        <r>
          <rPr>
            <sz val="9"/>
            <color indexed="81"/>
            <rFont val="Tahoma"/>
            <family val="2"/>
            <charset val="238"/>
          </rPr>
          <t xml:space="preserve">).
</t>
        </r>
        <r>
          <rPr>
            <u/>
            <sz val="9"/>
            <color indexed="81"/>
            <rFont val="Tahoma"/>
            <family val="2"/>
            <charset val="238"/>
          </rPr>
          <t>Podmínky pro zpracování zvláštní kategorie OÚ:</t>
        </r>
        <r>
          <rPr>
            <sz val="9"/>
            <color indexed="81"/>
            <rFont val="Tahoma"/>
            <family val="2"/>
            <charset val="238"/>
          </rPr>
          <t xml:space="preserve">
</t>
        </r>
        <r>
          <rPr>
            <b/>
            <sz val="9"/>
            <color indexed="81"/>
            <rFont val="Tahoma"/>
            <family val="2"/>
            <charset val="238"/>
          </rPr>
          <t>9/2a)</t>
        </r>
        <r>
          <rPr>
            <sz val="9"/>
            <color indexed="81"/>
            <rFont val="Tahoma"/>
            <family val="2"/>
            <charset val="238"/>
          </rPr>
          <t xml:space="preserve"> subjekt údajů udělil výslovný souhlas se zpracováním těchto osobních údajů pro jeden nebo více stanovených účelů, s výjimkou případů, kdy právo Unie nebo členského státu stanoví, že zákaz uvedený v odstavci 1 nemůže být subjektem údajů zrušen
</t>
        </r>
        <r>
          <rPr>
            <b/>
            <sz val="9"/>
            <color indexed="81"/>
            <rFont val="Tahoma"/>
            <family val="2"/>
            <charset val="238"/>
          </rPr>
          <t>9/2b)</t>
        </r>
        <r>
          <rPr>
            <sz val="9"/>
            <color indexed="81"/>
            <rFont val="Tahoma"/>
            <family val="2"/>
            <charset val="238"/>
          </rPr>
          <t xml:space="preserve"> zpracování je nezbytné pro účely plnění povinností a výkon zvláštních práv správce nebo subjektu údajů v oblasti pracovního práva a práva v oblasti sociálního zabezpečení a sociální ochrany, pokud je povoleno právem Unie nebo členského státu nebo kolektivní dohodou podle práva členského státu, v němž se stanoví vhodné záruky týkající se základních práv a zájmů subjektu údajů
</t>
        </r>
        <r>
          <rPr>
            <b/>
            <sz val="9"/>
            <color indexed="81"/>
            <rFont val="Tahoma"/>
            <family val="2"/>
            <charset val="238"/>
          </rPr>
          <t>9/2c)</t>
        </r>
        <r>
          <rPr>
            <sz val="9"/>
            <color indexed="81"/>
            <rFont val="Tahoma"/>
            <family val="2"/>
            <charset val="238"/>
          </rPr>
          <t xml:space="preserve"> zpracování je nutné pro ochranu životně důležitých zájmů subjektu údajů nebo jiné fyzické osoby v případě, že subjekt údajů není fyzicky nebo právně způsobilý udělit souhlas
</t>
        </r>
        <r>
          <rPr>
            <b/>
            <sz val="9"/>
            <color indexed="81"/>
            <rFont val="Tahoma"/>
            <family val="2"/>
            <charset val="238"/>
          </rPr>
          <t>9/2d)</t>
        </r>
        <r>
          <rPr>
            <sz val="9"/>
            <color indexed="81"/>
            <rFont val="Tahoma"/>
            <family val="2"/>
            <charset val="238"/>
          </rPr>
          <t xml:space="preserve"> zpracování provádí v rámci svých oprávněných činností a s vhodnými zárukami nadace, sdružení nebo jiný neziskový subjekt, který sleduje politické, filozofické, náboženské nebo odborové cíle, a za podmínky, že se zpracování vztahuje pouze na současné nebo bývalé členy tohoto subjektu nebo na osoby, které s ním udržují pravidelné styky související s jeho cíli, a že tyto osobní údaje nejsou bez souhlasu subjektu údajů zpřístupňovány mimo tento subjekt
</t>
        </r>
        <r>
          <rPr>
            <b/>
            <sz val="9"/>
            <color indexed="81"/>
            <rFont val="Tahoma"/>
            <family val="2"/>
            <charset val="238"/>
          </rPr>
          <t>9/2e)</t>
        </r>
        <r>
          <rPr>
            <sz val="9"/>
            <color indexed="81"/>
            <rFont val="Tahoma"/>
            <family val="2"/>
            <charset val="238"/>
          </rPr>
          <t xml:space="preserve"> zpracování se týká osobních údajů zjevně zveřejněných subjektem údajů
</t>
        </r>
        <r>
          <rPr>
            <b/>
            <sz val="9"/>
            <color indexed="81"/>
            <rFont val="Tahoma"/>
            <family val="2"/>
            <charset val="238"/>
          </rPr>
          <t>9/2f)</t>
        </r>
        <r>
          <rPr>
            <sz val="9"/>
            <color indexed="81"/>
            <rFont val="Tahoma"/>
            <family val="2"/>
            <charset val="238"/>
          </rPr>
          <t xml:space="preserve"> zpracování je nezbytné pro určení, výkon nebo obhajobu právních nároků nebo pokud soudy jednají v rámci svých soudních pravomocí
</t>
        </r>
        <r>
          <rPr>
            <b/>
            <sz val="9"/>
            <color indexed="81"/>
            <rFont val="Tahoma"/>
            <family val="2"/>
            <charset val="238"/>
          </rPr>
          <t>9/2g)</t>
        </r>
        <r>
          <rPr>
            <sz val="9"/>
            <color indexed="81"/>
            <rFont val="Tahoma"/>
            <family val="2"/>
            <charset val="238"/>
          </rPr>
          <t xml:space="preserve"> zpracování je nezbytné z důvodu významného veřejného zájmu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9/2h)</t>
        </r>
        <r>
          <rPr>
            <sz val="9"/>
            <color indexed="81"/>
            <rFont val="Tahoma"/>
            <family val="2"/>
            <charset val="238"/>
          </rPr>
          <t xml:space="preserve"> zpracování je nezbytné pro účely preventivního nebo pracovního lékařství, pro posouzení pracovní schopnosti zaměstnance, lékařské diagnostiky, poskytování zdravotní nebo sociální péče či léčby nebo řízení systémů a služeb zdravotní nebo sociální péče na základě práva Unie nebo členského státu nebo podle smlouvy se zdravotnickým pracovníkem a při splnění podmínek a záruk uvedených v odstavci 4
</t>
        </r>
        <r>
          <rPr>
            <b/>
            <sz val="9"/>
            <color indexed="81"/>
            <rFont val="Tahoma"/>
            <family val="2"/>
            <charset val="238"/>
          </rPr>
          <t xml:space="preserve">9/2i) </t>
        </r>
        <r>
          <rPr>
            <sz val="9"/>
            <color indexed="81"/>
            <rFont val="Tahoma"/>
            <family val="2"/>
            <charset val="238"/>
          </rPr>
          <t xml:space="preserve">zpracování je nezbytné z důvodů veřejného zájmu v oblasti veřejného zdraví, jako je ochrana před vážnými přeshraničními zdravotními hrozbami nebo zajištění přísných norem kvality a bezpečnosti zdravotní péče a léčivých přípravků nebo zdravotnických prostředků, na základě práva Unie nebo členského státu, které stanoví odpovídající a zvláštní opatření pro zajištění práv a svobod subjektu údajů, zejména služebního tajemství
</t>
        </r>
        <r>
          <rPr>
            <b/>
            <sz val="9"/>
            <color indexed="81"/>
            <rFont val="Tahoma"/>
            <family val="2"/>
            <charset val="238"/>
          </rPr>
          <t>9/2j)</t>
        </r>
        <r>
          <rPr>
            <sz val="9"/>
            <color indexed="81"/>
            <rFont val="Tahoma"/>
            <family val="2"/>
            <charset val="238"/>
          </rPr>
          <t xml:space="preserve"> zpracování je nezbytné pro účely archivace ve veřejném zájmu, pro účely vědeckého či historického výzkumu nebo pro statistické účely v souladu s čl. 89 odst. 1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 xml:space="preserve">9/4 </t>
        </r>
        <r>
          <rPr>
            <sz val="9"/>
            <color indexed="81"/>
            <rFont val="Tahoma"/>
            <family val="2"/>
            <charset val="238"/>
          </rPr>
          <t>Členské státy mohou zachovat nebo zavést další podmínky, včetně omezení, pokud jde o zpracování genetických údajů, biometrických údajů či údajů o zdravotním stavu.</t>
        </r>
      </text>
    </comment>
    <comment ref="C22" authorId="0" shapeId="0" xr:uid="{00000000-0006-0000-0400-000014000000}">
      <text>
        <r>
          <rPr>
            <sz val="9"/>
            <color indexed="81"/>
            <rFont val="Tahoma"/>
            <family val="2"/>
            <charset val="238"/>
          </rPr>
          <t xml:space="preserve">Uveďte, zda provádíte zpracování OÚ týkajících se rozsudků v trestních věcech a trestných činůpodle čl. 10 GDPR.
</t>
        </r>
        <r>
          <rPr>
            <b/>
            <i/>
            <sz val="9"/>
            <color indexed="81"/>
            <rFont val="Tahoma"/>
            <family val="2"/>
            <charset val="238"/>
          </rPr>
          <t xml:space="preserve">Zpracování osobních údajů týkajících se rozsudků v trestních věcech a trestných činů či souvisejících bezpečnostních opatření na základě čl. 6 odst. 1 se může provádět pouze pod dozorem orgánu veřejné moci nebo pokud je oprávněné podle práva Unie nebo členského státu poskytujícího vhodné záruky, pokud jde o práva a svobody subjektů údajů. Jakýkoli souhrnný rejstřík trestů může být veden pouze pod dozorem orgánu veřejné moci. </t>
        </r>
        <r>
          <rPr>
            <sz val="9"/>
            <color indexed="81"/>
            <rFont val="Tahoma"/>
            <family val="2"/>
            <charset val="238"/>
          </rPr>
          <t>(čl. 10 GDPR)</t>
        </r>
      </text>
    </comment>
    <comment ref="C23" authorId="0" shapeId="0" xr:uid="{00000000-0006-0000-0400-000015000000}">
      <text>
        <r>
          <rPr>
            <sz val="9"/>
            <color indexed="81"/>
            <rFont val="Tahoma"/>
            <family val="2"/>
            <charset val="238"/>
          </rPr>
          <t xml:space="preserve">Uveďte přesný účel, pro který jsou osobní údaje v ř. 17, 20 a 22 zpracovávány. Pokud jsou některé druhy osobních údajů v rámci téhož zpracování zpracovávány za jiným účelem, podrobně tyto informace rozepište. 
</t>
        </r>
        <r>
          <rPr>
            <b/>
            <i/>
            <sz val="9"/>
            <color indexed="81"/>
            <rFont val="Tahoma"/>
            <family val="2"/>
            <charset val="238"/>
          </rPr>
          <t>Osobní údaje musí být:
b) shromažďovány pro určité, výslovně vyjádřené a legitimní účely a nesmějí být dále zpracovávány způsobem, který je s těmito účely neslučitelný; další zpracování pro účely archivace ve veřejném zájmu, pro účely vědeckého či historického výzkumu nebo pro statistické účely se podle čl. 89 odst. 1 nepovažuje za neslučitelné s původními účely („účelové omezení“)</t>
        </r>
        <r>
          <rPr>
            <sz val="9"/>
            <color indexed="81"/>
            <rFont val="Tahoma"/>
            <family val="2"/>
            <charset val="238"/>
          </rPr>
          <t xml:space="preserve"> (čl. 5 odst. 1 písm. b) GDPR).
</t>
        </r>
      </text>
    </comment>
    <comment ref="C24" authorId="0" shapeId="0" xr:uid="{00000000-0006-0000-0400-000016000000}">
      <text>
        <r>
          <rPr>
            <sz val="9"/>
            <color indexed="81"/>
            <rFont val="Tahoma"/>
            <family val="2"/>
            <charset val="238"/>
          </rPr>
          <t xml:space="preserve">Uveďte jednotlivé kategorie subjektu údajů, které budou předmětem zpracování osobních údajů (např. vlastní zaměstnanci, návštěvníci, pojištěnci, zaměstnanci dodavatelů služeb, dlužníci, ….).
</t>
        </r>
      </text>
    </comment>
    <comment ref="C25" authorId="0" shapeId="0" xr:uid="{00000000-0006-0000-0400-000017000000}">
      <text>
        <r>
          <rPr>
            <sz val="9"/>
            <color indexed="81"/>
            <rFont val="Tahoma"/>
            <family val="2"/>
            <charset val="238"/>
          </rPr>
          <t>Zvolte jednu z možných kategorií předávání osobních údajů do zahraničí.</t>
        </r>
      </text>
    </comment>
    <comment ref="C26" authorId="0" shapeId="0" xr:uid="{00000000-0006-0000-0400-000018000000}">
      <text>
        <r>
          <rPr>
            <sz val="9"/>
            <color indexed="81"/>
            <rFont val="Tahoma"/>
            <family val="2"/>
            <charset val="238"/>
          </rPr>
          <t>Uveďte dobu, po kterou budou osobní údaje uchovány a není-li ji možné určit, kritéria použitá ke stanovení této doby. Doba může být vyjádřena rovněž uplynutím určité události (např. 2 roky od zakoupení zboží).</t>
        </r>
      </text>
    </comment>
    <comment ref="C27" authorId="0" shapeId="0" xr:uid="{00000000-0006-0000-0400-000019000000}">
      <text>
        <r>
          <rPr>
            <sz val="9"/>
            <color indexed="81"/>
            <rFont val="Tahoma"/>
            <family val="2"/>
            <charset val="238"/>
          </rPr>
          <t xml:space="preserve">Uveďte právní důvod doby uchovávání OÚ Odkazem na příslušné ustanovení obecně závazného právního předpisu) a není-li dán, pak vlastní odůvodnění doby uložení OÚ.
</t>
        </r>
      </text>
    </comment>
    <comment ref="C28" authorId="0" shapeId="0" xr:uid="{00000000-0006-0000-0400-00001A000000}">
      <text>
        <r>
          <rPr>
            <sz val="9"/>
            <color indexed="81"/>
            <rFont val="Tahoma"/>
            <family val="2"/>
            <charset val="238"/>
          </rPr>
          <t>Vyplňte pouze v případě, že osobní údaje jsou ukládány v listinné podobě nebo na externích nosičích (DVD, flash disk, …), např. budova B, 1PP, archiv nebo kancelář č. 236 apod.</t>
        </r>
      </text>
    </comment>
    <comment ref="C29" authorId="0" shapeId="0" xr:uid="{00000000-0006-0000-0400-00001B000000}">
      <text>
        <r>
          <rPr>
            <b/>
            <i/>
            <sz val="9"/>
            <color indexed="81"/>
            <rFont val="Tahoma"/>
            <family val="2"/>
            <charset val="238"/>
          </rPr>
          <t>„Profilováním“ se rozumí jakákoli forma automatizovaného zpracování osobních údajů spočívající v jejich použití k hodnocení některých osobních aspektů vztahujících se k fyzické osobě, zejména k rozboru nebo odhadu aspektů týkajících se jejího pracovního výkonu, ekonomické situace, zdravotního stavu, osobních preferencí, zájmů, spolehlivosti, chování, místa, kde se nachází, nebo pohybu.</t>
        </r>
        <r>
          <rPr>
            <sz val="9"/>
            <color indexed="81"/>
            <rFont val="Tahoma"/>
            <family val="2"/>
            <charset val="238"/>
          </rPr>
          <t xml:space="preserve"> (čl. 4 odst. 4 GDPR)</t>
        </r>
      </text>
    </comment>
    <comment ref="C30" authorId="0" shapeId="0" xr:uid="{00000000-0006-0000-0400-00001C000000}">
      <text>
        <r>
          <rPr>
            <sz val="9"/>
            <color indexed="81"/>
            <rFont val="Tahoma"/>
            <family val="2"/>
            <charset val="238"/>
          </rPr>
          <t xml:space="preserve">Uveďte, zda je dán důvod pro posouzení vlivu na OOÚ.
</t>
        </r>
        <r>
          <rPr>
            <b/>
            <i/>
            <sz val="9"/>
            <color indexed="81"/>
            <rFont val="Tahoma"/>
            <family val="2"/>
            <charset val="238"/>
          </rPr>
          <t xml:space="preserve">Pokud je pravděpodobné, že určitý druh zpracování, zejména při využití nových technologií, bude s přihlédnutím k povaze, rozsahu, kontextu a účelům zpracování bude mít za následek vysoké riziko pro práva a svobody fyzických osob, provede správce před zpracováním posouzení vlivu zamýšlených operací zpracování na ochranu osobních údajů. Pro soubor podobných operací zpracování, které představují podobné riziko, může stačit jedno posouzení. </t>
        </r>
        <r>
          <rPr>
            <sz val="9"/>
            <color indexed="81"/>
            <rFont val="Tahoma"/>
            <family val="2"/>
            <charset val="238"/>
          </rPr>
          <t xml:space="preserve">(čl. 35 odst. 1 GDPR)
</t>
        </r>
      </text>
    </comment>
    <comment ref="C31" authorId="0" shapeId="0" xr:uid="{00000000-0006-0000-0400-00001D000000}">
      <text>
        <r>
          <rPr>
            <sz val="9"/>
            <color indexed="81"/>
            <rFont val="Tahoma"/>
            <family val="2"/>
            <charset val="238"/>
          </rPr>
          <t xml:space="preserve">Uveďte, zda bylo provedeno posouzení vlivu na OOÚ.
</t>
        </r>
      </text>
    </comment>
    <comment ref="C32" authorId="0" shapeId="0" xr:uid="{00000000-0006-0000-0400-00001E000000}">
      <text>
        <r>
          <rPr>
            <sz val="9"/>
            <color indexed="81"/>
            <rFont val="Tahoma"/>
            <family val="2"/>
            <charset val="238"/>
          </rPr>
          <t xml:space="preserve">Uvede se existence společného správce ve smyslu čl. 26 odst. 1 GDPR.
</t>
        </r>
        <r>
          <rPr>
            <b/>
            <i/>
            <sz val="9"/>
            <color indexed="81"/>
            <rFont val="Tahoma"/>
            <family val="2"/>
            <charset val="238"/>
          </rPr>
          <t>Pokud účely a prostředky zpracování stanoví společně dva nebo více správců, jsou společnými správci. Společní správci mezi sebou transparentním ujednáním vymezí své podíly na odpovědnosti za plnění povinností podle tohoto nařízení, zejména pokud jde o výkon práv subjektu údajů, a své povinnosti poskytovat informace uvedené v článcích 13 a 14, pokud tuto odpovědnost správců nestanoví právo Unie nebo členského státu, které se na správce vztahuje. V ujednání může být určeno kontaktní místo pro subjekty údajů.</t>
        </r>
        <r>
          <rPr>
            <i/>
            <sz val="9"/>
            <color indexed="81"/>
            <rFont val="Tahoma"/>
            <family val="2"/>
            <charset val="238"/>
          </rPr>
          <t xml:space="preserve"> (čl. odst. 1 GDPR)</t>
        </r>
      </text>
    </comment>
    <comment ref="C34" authorId="0" shapeId="0" xr:uid="{00000000-0006-0000-0400-00001F000000}">
      <text>
        <r>
          <rPr>
            <sz val="9"/>
            <color indexed="81"/>
            <rFont val="Tahoma"/>
            <family val="2"/>
            <charset val="238"/>
          </rPr>
          <t xml:space="preserve">Zpracovatel ve smyslu čl. 28 GDPR, tedy jakýkoliv jiný subjekt, než subjekt uvedený v listu "Úvod". Zpracovatelem není zaměstnanec správce.
</t>
        </r>
        <r>
          <rPr>
            <b/>
            <i/>
            <sz val="9"/>
            <color indexed="81"/>
            <rFont val="Tahoma"/>
            <family val="2"/>
            <charset val="238"/>
          </rPr>
          <t>„zpracovatelem“ fyzická nebo právnická osoba, orgán veřejné moci, agentura nebo jiný subjekt, který zpracovává osobní údaje pro správce</t>
        </r>
        <r>
          <rPr>
            <sz val="9"/>
            <color indexed="81"/>
            <rFont val="Tahoma"/>
            <family val="2"/>
            <charset val="238"/>
          </rPr>
          <t xml:space="preserve"> (čl. 4 odst. 8 GDPR)</t>
        </r>
      </text>
    </comment>
    <comment ref="C35" authorId="0" shapeId="0" xr:uid="{00000000-0006-0000-0400-000020000000}">
      <text>
        <r>
          <rPr>
            <sz val="9"/>
            <color indexed="81"/>
            <rFont val="Tahoma"/>
            <family val="2"/>
            <charset val="238"/>
          </rPr>
          <t>Uveďte počet zpracovatelů, kteří se podílení na zpracování, které je předmětem tohoto check listu.</t>
        </r>
      </text>
    </comment>
    <comment ref="C38" authorId="0" shapeId="0" xr:uid="{00000000-0006-0000-0400-000021000000}">
      <text>
        <r>
          <rPr>
            <sz val="9"/>
            <color indexed="81"/>
            <rFont val="Tahoma"/>
            <family val="2"/>
            <charset val="238"/>
          </rPr>
          <t>Pro vyplnění buněk C38 - C40 použijte údaje z obchodního nebo jiného rejstříku.</t>
        </r>
      </text>
    </comment>
    <comment ref="C41" authorId="0" shapeId="0" xr:uid="{00000000-0006-0000-0400-000022000000}">
      <text>
        <r>
          <rPr>
            <sz val="9"/>
            <color indexed="81"/>
            <rFont val="Tahoma"/>
            <family val="2"/>
            <charset val="238"/>
          </rPr>
          <t>Osoba odpovědná za zpracování osobních údajů (např. dle smlouvy o zpracování osobních údajů).</t>
        </r>
      </text>
    </comment>
    <comment ref="C44" authorId="0" shapeId="0" xr:uid="{00000000-0006-0000-0400-000023000000}">
      <text>
        <r>
          <rPr>
            <sz val="9"/>
            <color indexed="81"/>
            <rFont val="Tahoma"/>
            <family val="2"/>
            <charset val="238"/>
          </rPr>
          <t>Použijte jednu z nabízených možností.</t>
        </r>
      </text>
    </comment>
    <comment ref="C45" authorId="0" shapeId="0" xr:uid="{00000000-0006-0000-0400-000024000000}">
      <text>
        <r>
          <rPr>
            <sz val="9"/>
            <color indexed="81"/>
            <rFont val="Tahoma"/>
            <family val="2"/>
            <charset val="238"/>
          </rPr>
          <t>Uveďte ustanovení příslušného právního předpisu.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Vladimír Nesvadba</author>
  </authors>
  <commentList>
    <comment ref="C2" authorId="0" shapeId="0" xr:uid="{00000000-0006-0000-0500-000001000000}">
      <text>
        <r>
          <rPr>
            <sz val="9"/>
            <color indexed="81"/>
            <rFont val="Tahoma"/>
            <family val="2"/>
            <charset val="238"/>
          </rPr>
          <t xml:space="preserve">Uveďte název zpracování, kterým je nejlépe vystižena agenda, v níž jsou osobní údaje zpracovány (Personální a mzdová evidence, Evidence držitelů vstupních karet, Kamerový systém, Dodavatelské a odběratelské smlouvy, ....). Název zpracování se bude používat v navazujících dokumentech.
</t>
        </r>
      </text>
    </comment>
    <comment ref="C3" authorId="0" shapeId="0" xr:uid="{00000000-0006-0000-0500-000002000000}">
      <text>
        <r>
          <rPr>
            <sz val="9"/>
            <color indexed="81"/>
            <rFont val="Tahoma"/>
            <family val="2"/>
            <charset val="238"/>
          </rPr>
          <t xml:space="preserve">Každé zpracování označte jedinečným označením (forma číslování není stanovena). Číslo pak použijte v názvu daného listu, např. "35", "RSV-02" apod.
</t>
        </r>
      </text>
    </comment>
    <comment ref="C4" authorId="0" shapeId="0" xr:uid="{00000000-0006-0000-0500-000003000000}">
      <text>
        <r>
          <rPr>
            <sz val="9"/>
            <color indexed="81"/>
            <rFont val="Tahoma"/>
            <family val="2"/>
            <charset val="238"/>
          </rPr>
          <t>Organizační jednotkou je myšlena organizační součást správce, který zpracování provádí (např. ekonomický odbor, personální oddělení apod.). Nejsou-li organizační součásti zavedeny, údaj se nevyplňuje.</t>
        </r>
      </text>
    </comment>
    <comment ref="C5" authorId="0" shapeId="0" xr:uid="{00000000-0006-0000-0500-000004000000}">
      <text>
        <r>
          <rPr>
            <sz val="9"/>
            <color indexed="81"/>
            <rFont val="Tahoma"/>
            <family val="2"/>
            <charset val="238"/>
          </rPr>
          <t>Vyplňte pouze v případě, že organizační součást má přidělené vlastní číslo, pod kterým je v příslušných interních aktech řízení uváděna.</t>
        </r>
      </text>
    </comment>
    <comment ref="C6" authorId="0" shapeId="0" xr:uid="{00000000-0006-0000-0500-000005000000}">
      <text>
        <r>
          <rPr>
            <sz val="9"/>
            <color indexed="81"/>
            <rFont val="Tahoma"/>
            <family val="2"/>
            <charset val="238"/>
          </rPr>
          <t xml:space="preserve">Odpovědná osoba za danou oblast zpracování (uveďte </t>
        </r>
        <r>
          <rPr>
            <b/>
            <sz val="9"/>
            <color indexed="81"/>
            <rFont val="Tahoma"/>
            <family val="2"/>
            <charset val="238"/>
          </rPr>
          <t>titul, jméno, příjmení, pracovní pozici</t>
        </r>
        <r>
          <rPr>
            <sz val="9"/>
            <color indexed="81"/>
            <rFont val="Tahoma"/>
            <family val="2"/>
            <charset val="238"/>
          </rPr>
          <t>). Uvedená osoba by měla být současně respondentem tohoto check listu. Nedoporučujeme, aby byla jmenována více, než jedna odpovědná osoba za jedno identifikované zpracování.</t>
        </r>
      </text>
    </comment>
    <comment ref="C7" authorId="0" shapeId="0" xr:uid="{00000000-0006-0000-0500-000006000000}">
      <text>
        <r>
          <rPr>
            <sz val="9"/>
            <color indexed="81"/>
            <rFont val="Tahoma"/>
            <family val="2"/>
            <charset val="238"/>
          </rPr>
          <t xml:space="preserve">Uveďte pracovní e-mail odpovědné osoby.
</t>
        </r>
      </text>
    </comment>
    <comment ref="C8" authorId="0" shapeId="0" xr:uid="{00000000-0006-0000-0500-000007000000}">
      <text>
        <r>
          <rPr>
            <sz val="9"/>
            <color indexed="81"/>
            <rFont val="Tahoma"/>
            <family val="2"/>
            <charset val="238"/>
          </rPr>
          <t xml:space="preserve">Uveďte pracovní telefonní číslo
odpovědné osoby.
</t>
        </r>
      </text>
    </comment>
    <comment ref="C9" authorId="0" shapeId="0" xr:uid="{00000000-0006-0000-0500-000008000000}">
      <text>
        <r>
          <rPr>
            <sz val="9"/>
            <color indexed="81"/>
            <rFont val="Tahoma"/>
            <family val="2"/>
            <charset val="238"/>
          </rPr>
          <t>Uveďte výčet pracovních pozic spolu se zařazením do organizačních jednotek, které jsou oprávněny zpracovávat předmětné OÚ. Výčet těchto pozic má vliv na pozdější stanovení bezpečnostních opatření, zejména pak v oblasti fyzické bezpečnosti a bezpečnosti IT. Nezapomínejte na osoby, které mají oprávnění na základě svých specifických pracovních povinností, např. generální ředitel, právník, interní auditoři apod., vč. osob, které zajišťují případnou zastupitelnost.</t>
        </r>
      </text>
    </comment>
    <comment ref="C10" authorId="0" shapeId="0" xr:uid="{00000000-0006-0000-0500-000009000000}">
      <text>
        <r>
          <rPr>
            <sz val="9"/>
            <color indexed="81"/>
            <rFont val="Tahoma"/>
            <family val="2"/>
            <charset val="238"/>
          </rPr>
          <t xml:space="preserve">Vyplňte pouze v případě, že příjemcem osobních údajů budou osoby mimo subjekt údajů a správce, vč. jeho zaměstnanců. Tyto osoby pak specifikujte (např. komerční pojišťovny, ČSSZ, zdravotní pojišťovny, smluvní partneři atd.) Neuvádějte subjekty uvedené ve větě druhé citované definice.
</t>
        </r>
        <r>
          <rPr>
            <b/>
            <i/>
            <sz val="9"/>
            <color indexed="81"/>
            <rFont val="Tahoma"/>
            <family val="2"/>
            <charset val="238"/>
          </rPr>
          <t xml:space="preserve">„příjemcem“ fyzická nebo právnická osoba, orgán veřejné moci, agentura nebo jiný subjekt, kterým jsou osobní údaje poskytnuty, ať už se jedná o třetí stranu, či nikoli. Avšak orgány veřejné moci, které mohou získávat osobní údaje v rámci zvláštního šetření v souladu s právem členského státu, se za příjemce nepovažují; zpracování těchto osobních údajů těmito orgány veřejné moci musí být v souladu s použitelnými pravidly ochrany údajů pro dané účely zpracování </t>
        </r>
        <r>
          <rPr>
            <i/>
            <sz val="9"/>
            <color indexed="81"/>
            <rFont val="Tahoma"/>
            <family val="2"/>
            <charset val="238"/>
          </rPr>
          <t>(čl. 4 odst. 9 GDPR)</t>
        </r>
      </text>
    </comment>
    <comment ref="C12" authorId="0" shapeId="0" xr:uid="{00000000-0006-0000-0500-00000A000000}">
      <text>
        <r>
          <rPr>
            <sz val="9"/>
            <color indexed="81"/>
            <rFont val="Tahoma"/>
            <family val="2"/>
            <charset val="238"/>
          </rPr>
          <t>Uveďte počet subjektů údajů (zaokrouhleně), k nimž se OÚ zpracovávají, např. "20", "300", "12.000". Nezapomeňte na osoby, jejichž údaje aktivně nevyužíváte, přesto jejich OÚ archivujete, např. v případě personální evidence. Je-li současný počet zaměstnanců 400, společnost působí na trhu 18 let a roční fluktuace činí cca 40 osob, pak celkový počet subjektů údajů bude 400 + (18 * 40) = 1.120</t>
        </r>
      </text>
    </comment>
    <comment ref="C13" authorId="0" shapeId="0" xr:uid="{16F75043-02F6-4960-A17B-94E061D6184A}">
      <text>
        <r>
          <rPr>
            <sz val="9"/>
            <color indexed="81"/>
            <rFont val="Tahoma"/>
            <family val="2"/>
            <charset val="238"/>
          </rPr>
          <t xml:space="preserve">Vyplňte pouze v případě, že osobní údaje jsou ukládány v listinné podobě nebo na externích nosičích (DVD, flash disk, …), např. budova B, 1PP, archiv nebo kancelář č. 236 apod. Umístění počítačů, serverů a dalšího HW vybavení neuvádějte. </t>
        </r>
      </text>
    </comment>
    <comment ref="C14" authorId="0" shapeId="0" xr:uid="{00000000-0006-0000-0500-00000C000000}">
      <text>
        <r>
          <rPr>
            <sz val="9"/>
            <color indexed="81"/>
            <rFont val="Tahoma"/>
            <family val="2"/>
            <charset val="238"/>
          </rPr>
          <t xml:space="preserve">Uveďte, z jakých zdrojů OÚ shromažďujete:
- </t>
        </r>
        <r>
          <rPr>
            <b/>
            <sz val="9"/>
            <color indexed="81"/>
            <rFont val="Tahoma"/>
            <family val="2"/>
            <charset val="238"/>
          </rPr>
          <t>od subjektu údajů</t>
        </r>
        <r>
          <rPr>
            <sz val="9"/>
            <color indexed="81"/>
            <rFont val="Tahoma"/>
            <family val="2"/>
            <charset val="238"/>
          </rPr>
          <t xml:space="preserve">
- </t>
        </r>
        <r>
          <rPr>
            <b/>
            <sz val="9"/>
            <color indexed="81"/>
            <rFont val="Tahoma"/>
            <family val="2"/>
            <charset val="238"/>
          </rPr>
          <t>z veřejných zdrojů</t>
        </r>
        <r>
          <rPr>
            <sz val="9"/>
            <color indexed="81"/>
            <rFont val="Tahoma"/>
            <family val="2"/>
            <charset val="238"/>
          </rPr>
          <t xml:space="preserve"> (specifikujte z jakých zdrojů)
- </t>
        </r>
        <r>
          <rPr>
            <b/>
            <sz val="9"/>
            <color indexed="81"/>
            <rFont val="Tahoma"/>
            <family val="2"/>
            <charset val="238"/>
          </rPr>
          <t>z jiných zdrojů</t>
        </r>
        <r>
          <rPr>
            <sz val="9"/>
            <color indexed="81"/>
            <rFont val="Tahoma"/>
            <family val="2"/>
            <charset val="238"/>
          </rPr>
          <t xml:space="preserve"> (specifikujte z jakých zdrojů)
Zdroje mohou být uvedeny kumulativně, např.: "od subjektu údajů, z veřejných zdrojů - OR, ARES".</t>
        </r>
      </text>
    </comment>
    <comment ref="C15" authorId="0" shapeId="0" xr:uid="{00000000-0006-0000-0500-00000D000000}">
      <text>
        <r>
          <rPr>
            <sz val="9"/>
            <color indexed="81"/>
            <rFont val="Tahoma"/>
            <family val="2"/>
            <charset val="238"/>
          </rPr>
          <t>Vyberte jeden z nabízených způsobů zpracování. 
V systémech automatizovaného zpracování by omezení zpracování mělo být v zásadě zajištěno technickými prostředky tak, aby se na osobní údaje již nevztahovaly žádné další operace zpracování a aby nemohly být změněny.
Neautomatizovaným zpracováním se rozumí manuální zpracování zejména v listinné podobě.</t>
        </r>
      </text>
    </comment>
    <comment ref="C16" authorId="0" shapeId="0" xr:uid="{00000000-0006-0000-0500-00000E000000}">
      <text>
        <r>
          <rPr>
            <sz val="9"/>
            <color indexed="81"/>
            <rFont val="Tahoma"/>
            <family val="2"/>
            <charset val="238"/>
          </rPr>
          <t xml:space="preserve">Uveďte, zda provádíte přeshraniční zpracování OÚ dle níže uvedené definice přeshraničního zpracování.
</t>
        </r>
        <r>
          <rPr>
            <b/>
            <i/>
            <sz val="9"/>
            <color indexed="81"/>
            <rFont val="Tahoma"/>
            <family val="2"/>
            <charset val="238"/>
          </rPr>
          <t xml:space="preserve">„přeshraničním zpracováním“ buď: 
a) zpracování osobních údajů, které probíhá v souvislosti s činnostmi provozoven ve více než jednom členském státě správce či zpracovatele v Unii, je-li tento správce či zpracovatel usazen ve více než jednom členském státě; nebo 
b) zpracování osobních údajů, které probíhá v souvislosti s činnostmi jediné provozovny správce či zpracovatele v Unii, ale kterým jsou nebo pravděpodobně budou podstatně dotčeny subjekty údajů ve více než jednom členském státě </t>
        </r>
        <r>
          <rPr>
            <sz val="9"/>
            <color indexed="81"/>
            <rFont val="Tahoma"/>
            <family val="2"/>
            <charset val="238"/>
          </rPr>
          <t>(čl. 4 odst. 23 GDPR)</t>
        </r>
      </text>
    </comment>
    <comment ref="C17" authorId="0" shapeId="0" xr:uid="{00000000-0006-0000-0500-00000F000000}">
      <text>
        <r>
          <rPr>
            <sz val="9"/>
            <color indexed="81"/>
            <rFont val="Tahoma"/>
            <family val="2"/>
            <charset val="238"/>
          </rPr>
          <t xml:space="preserve">Vypište všechny informace o fyzické osobě, které v souvislosti s předmětným zpracováním OÚ shromažďujete (např. titul, jméno, příjmení, r.č., bydliště, čísla a druh dokladů, číslo účtu, fotografie, telefonní číslo, e-mailová adresa, osobní evidenční číslo atd.). 
</t>
        </r>
        <r>
          <rPr>
            <b/>
            <i/>
            <sz val="9"/>
            <color indexed="81"/>
            <rFont val="Tahoma"/>
            <family val="2"/>
            <charset val="238"/>
          </rPr>
          <t>„Osobními údaji“ jsou veškeré informace o identifikované nebo identifikovatelné fyzické osobě (dále jen „subjekt údajů“); identifikovatelnou fyzickou osobou je fyzická osoba, kterou lze přímo či nepřímo identifikovat, zejména odkazem na určitý identifikátor, například jméno, identifikační číslo, lokační údaje, síťový identifikátor nebo na jeden či více zvláštních prvků fyzické, fyziologické, genetické, psychické, ekonomické, kulturní nebo společenské identity této fyzické osoby.</t>
        </r>
        <r>
          <rPr>
            <sz val="9"/>
            <color indexed="81"/>
            <rFont val="Tahoma"/>
            <family val="2"/>
            <charset val="238"/>
          </rPr>
          <t xml:space="preserve"> (čl. 4 odst. 1 GDPR)</t>
        </r>
      </text>
    </comment>
    <comment ref="C18" authorId="0" shapeId="0" xr:uid="{00000000-0006-0000-0500-000010000000}">
      <text>
        <r>
          <rPr>
            <sz val="9"/>
            <color indexed="81"/>
            <rFont val="Tahoma"/>
            <family val="2"/>
            <charset val="238"/>
          </rPr>
          <t xml:space="preserve">Uveďte příslušná písmena z čl. 6 odst. 1 GDPR, na základě kterých jsou OÚ zpracovávány (např. </t>
        </r>
        <r>
          <rPr>
            <b/>
            <sz val="9"/>
            <color indexed="81"/>
            <rFont val="Tahoma"/>
            <family val="2"/>
            <charset val="238"/>
          </rPr>
          <t>a,c</t>
        </r>
        <r>
          <rPr>
            <sz val="9"/>
            <color indexed="81"/>
            <rFont val="Tahoma"/>
            <family val="2"/>
            <charset val="238"/>
          </rPr>
          <t>)</t>
        </r>
        <r>
          <rPr>
            <b/>
            <sz val="9"/>
            <color indexed="81"/>
            <rFont val="Tahoma"/>
            <family val="2"/>
            <charset val="238"/>
          </rPr>
          <t xml:space="preserve">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c - § 36 a násl. z.č. 257/2016</t>
        </r>
        <r>
          <rPr>
            <sz val="9"/>
            <color indexed="81"/>
            <rFont val="Tahoma"/>
            <family val="2"/>
            <charset val="238"/>
          </rPr>
          <t xml:space="preserve">).
</t>
        </r>
        <r>
          <rPr>
            <u/>
            <sz val="9"/>
            <color indexed="81"/>
            <rFont val="Tahoma"/>
            <family val="2"/>
            <charset val="238"/>
          </rPr>
          <t xml:space="preserve">Podmínky pro zpracování OÚ:
</t>
        </r>
        <r>
          <rPr>
            <sz val="9"/>
            <color indexed="81"/>
            <rFont val="Tahoma"/>
            <family val="2"/>
            <charset val="238"/>
          </rPr>
          <t xml:space="preserve">Zpracování je zákonné, pouze pokud je splněna nejméně jedna z těchto podmínek a pouze v odpovídajícím rozsahu: 
</t>
        </r>
        <r>
          <rPr>
            <b/>
            <sz val="9"/>
            <color indexed="81"/>
            <rFont val="Tahoma"/>
            <family val="2"/>
            <charset val="238"/>
          </rPr>
          <t>6/1a)</t>
        </r>
        <r>
          <rPr>
            <sz val="9"/>
            <color indexed="81"/>
            <rFont val="Tahoma"/>
            <family val="2"/>
            <charset val="238"/>
          </rPr>
          <t xml:space="preserve"> subjekt údajů udělil souhlas se zpracováním svých osobních údajů pro jeden či více konkrétních účelů
</t>
        </r>
        <r>
          <rPr>
            <b/>
            <sz val="9"/>
            <color indexed="81"/>
            <rFont val="Tahoma"/>
            <family val="2"/>
            <charset val="238"/>
          </rPr>
          <t>6/1b)</t>
        </r>
        <r>
          <rPr>
            <sz val="9"/>
            <color indexed="81"/>
            <rFont val="Tahoma"/>
            <family val="2"/>
            <charset val="238"/>
          </rPr>
          <t xml:space="preserve"> zpracování je nezbytné pro splnění smlouvy, jejíž smluvní stranou je subjekt údajů, nebo pro provedení opatření přijatých před uzavřením smlouvy na žádost tohoto subjektu údajů
</t>
        </r>
        <r>
          <rPr>
            <b/>
            <sz val="9"/>
            <color indexed="81"/>
            <rFont val="Tahoma"/>
            <family val="2"/>
            <charset val="238"/>
          </rPr>
          <t>6/1c)</t>
        </r>
        <r>
          <rPr>
            <sz val="9"/>
            <color indexed="81"/>
            <rFont val="Tahoma"/>
            <family val="2"/>
            <charset val="238"/>
          </rPr>
          <t xml:space="preserve"> zpracování je nezbytné pro splnění právní povinnosti, která se na správce vztahuje
</t>
        </r>
        <r>
          <rPr>
            <b/>
            <sz val="9"/>
            <color indexed="81"/>
            <rFont val="Tahoma"/>
            <family val="2"/>
            <charset val="238"/>
          </rPr>
          <t>6/1d)</t>
        </r>
        <r>
          <rPr>
            <sz val="9"/>
            <color indexed="81"/>
            <rFont val="Tahoma"/>
            <family val="2"/>
            <charset val="238"/>
          </rPr>
          <t xml:space="preserve"> zpracování je nezbytné pro ochranu životně důležitých zájmů subjektu údajů nebo jiné fyzické osoby
</t>
        </r>
        <r>
          <rPr>
            <b/>
            <sz val="9"/>
            <color indexed="81"/>
            <rFont val="Tahoma"/>
            <family val="2"/>
            <charset val="238"/>
          </rPr>
          <t>6/1e)</t>
        </r>
        <r>
          <rPr>
            <sz val="9"/>
            <color indexed="81"/>
            <rFont val="Tahoma"/>
            <family val="2"/>
            <charset val="238"/>
          </rPr>
          <t xml:space="preserve"> zpracování je nezbytné pro splnění úkolu prováděného ve veřejném zájmu nebo při výkonu veřejné moci, kterým je pověřen správce
</t>
        </r>
        <r>
          <rPr>
            <b/>
            <sz val="9"/>
            <color indexed="81"/>
            <rFont val="Tahoma"/>
            <family val="2"/>
            <charset val="238"/>
          </rPr>
          <t>6/1f)</t>
        </r>
        <r>
          <rPr>
            <sz val="9"/>
            <color indexed="81"/>
            <rFont val="Tahoma"/>
            <family val="2"/>
            <charset val="238"/>
          </rPr>
          <t xml:space="preserve"> zpracování je nezbytné pro účely oprávněných zájmů příslušného správce či třetí strany, kromě případů, kdy před těmito zájmy mají přednost zájmy nebo základní práva a svobody subjektu údajů vyžadující ochranu osobních údajů, zejména pokud je subjektem údajů dítě.
</t>
        </r>
      </text>
    </comment>
    <comment ref="C19" authorId="0" shapeId="0" xr:uid="{00000000-0006-0000-0500-000011000000}">
      <text>
        <r>
          <rPr>
            <sz val="9"/>
            <color indexed="81"/>
            <rFont val="Tahoma"/>
            <family val="2"/>
            <charset val="238"/>
          </rPr>
          <t xml:space="preserve">Uveďte, zda provádíte zpracování zvláštní kategorie OÚ uvedených v čl. 9 odst. 1  GDPR, tedy OÚ </t>
        </r>
        <r>
          <rPr>
            <u/>
            <sz val="9"/>
            <color indexed="81"/>
            <rFont val="Tahoma"/>
            <family val="2"/>
            <charset val="238"/>
          </rPr>
          <t>vypovídajících o:</t>
        </r>
        <r>
          <rPr>
            <sz val="9"/>
            <color indexed="81"/>
            <rFont val="Tahoma"/>
            <family val="2"/>
            <charset val="238"/>
          </rPr>
          <t xml:space="preserve">
</t>
        </r>
        <r>
          <rPr>
            <b/>
            <sz val="9"/>
            <color indexed="81"/>
            <rFont val="Tahoma"/>
            <family val="2"/>
            <charset val="238"/>
          </rPr>
          <t>rasovém či etnickém původu, 
politických názorech, 
náboženském vyznání či filozofickém přesvědčení 
členství v odborech,</t>
        </r>
        <r>
          <rPr>
            <sz val="9"/>
            <color indexed="81"/>
            <rFont val="Tahoma"/>
            <family val="2"/>
            <charset val="238"/>
          </rPr>
          <t xml:space="preserve">
</t>
        </r>
        <r>
          <rPr>
            <u/>
            <sz val="9"/>
            <color indexed="81"/>
            <rFont val="Tahoma"/>
            <family val="2"/>
            <charset val="238"/>
          </rPr>
          <t>zpracování:</t>
        </r>
        <r>
          <rPr>
            <sz val="9"/>
            <color indexed="81"/>
            <rFont val="Tahoma"/>
            <family val="2"/>
            <charset val="238"/>
          </rPr>
          <t xml:space="preserve">
</t>
        </r>
        <r>
          <rPr>
            <b/>
            <sz val="9"/>
            <color indexed="81"/>
            <rFont val="Tahoma"/>
            <family val="2"/>
            <charset val="238"/>
          </rPr>
          <t xml:space="preserve">genetických údajů nebo biometrických údajů za účelem jedinečné identifikace fyzické osoby 
údajů o zdravotním stavu 
údajů o sexuálním životě nebo sexuální orientaci fyzické osoby
</t>
        </r>
        <r>
          <rPr>
            <sz val="9"/>
            <color indexed="81"/>
            <rFont val="Tahoma"/>
            <family val="2"/>
            <charset val="238"/>
          </rPr>
          <t xml:space="preserve">
</t>
        </r>
        <r>
          <rPr>
            <b/>
            <i/>
            <sz val="9"/>
            <color indexed="81"/>
            <rFont val="Tahoma"/>
            <family val="2"/>
            <charset val="238"/>
          </rPr>
          <t>„genetickými údaji“ osobní údaje týkající se zděděných nebo získaných genetických znaků fyzické osoby, které poskytují jedinečné informace o její fyziologii či zdraví a které vyplývají zejména z analýzy biologického vzorku dotčené fyzické osoby</t>
        </r>
        <r>
          <rPr>
            <i/>
            <sz val="9"/>
            <color indexed="81"/>
            <rFont val="Tahoma"/>
            <family val="2"/>
            <charset val="238"/>
          </rPr>
          <t xml:space="preserve"> (čl. 4 odst. 13 GDPR)</t>
        </r>
        <r>
          <rPr>
            <b/>
            <i/>
            <sz val="9"/>
            <color indexed="81"/>
            <rFont val="Tahoma"/>
            <family val="2"/>
            <charset val="238"/>
          </rPr>
          <t xml:space="preserve">
„biometrickými údaji“ osobní údaje vyplývající z konkrétního technického zpracování týkající se fyzických či fyziologických znaků nebo znaků chování fyzické osoby, které umožňuje nebo potvrzuje jedinečnou identifikaci, například zobrazení obličeje nebo daktyloskopické údaje</t>
        </r>
        <r>
          <rPr>
            <i/>
            <sz val="9"/>
            <color indexed="81"/>
            <rFont val="Tahoma"/>
            <family val="2"/>
            <charset val="238"/>
          </rPr>
          <t xml:space="preserve"> (čl. 4 odst. 14 GDPR)</t>
        </r>
        <r>
          <rPr>
            <b/>
            <i/>
            <sz val="9"/>
            <color indexed="81"/>
            <rFont val="Tahoma"/>
            <family val="2"/>
            <charset val="238"/>
          </rPr>
          <t xml:space="preserve">
„údaji o zdravotním stavu“ osobní údaje týkající se tělesného nebo duševního zdraví fyzické osoby, včetně údajů o poskytnutí zdravotních služeb, které vypovídají o jejím zdravotním stavu</t>
        </r>
        <r>
          <rPr>
            <i/>
            <sz val="9"/>
            <color indexed="81"/>
            <rFont val="Tahoma"/>
            <family val="2"/>
            <charset val="238"/>
          </rPr>
          <t xml:space="preserve"> (čl. 4 odst. 15 GDPR)</t>
        </r>
        <r>
          <rPr>
            <b/>
            <i/>
            <sz val="9"/>
            <color indexed="81"/>
            <rFont val="Tahoma"/>
            <family val="2"/>
            <charset val="238"/>
          </rPr>
          <t xml:space="preserve">
</t>
        </r>
      </text>
    </comment>
    <comment ref="C20" authorId="0" shapeId="0" xr:uid="{00000000-0006-0000-0500-000012000000}">
      <text>
        <r>
          <rPr>
            <sz val="9"/>
            <color indexed="81"/>
            <rFont val="Tahoma"/>
            <family val="2"/>
            <charset val="238"/>
          </rPr>
          <t>Uveďte přesný druh (viz. nápověda k buňce C19).</t>
        </r>
      </text>
    </comment>
    <comment ref="C21" authorId="0" shapeId="0" xr:uid="{00000000-0006-0000-0500-000013000000}">
      <text>
        <r>
          <rPr>
            <sz val="9"/>
            <color indexed="81"/>
            <rFont val="Tahoma"/>
            <family val="2"/>
            <charset val="238"/>
          </rPr>
          <t xml:space="preserve">Uveďte příslušná písmena z čl. 9 odst. 2 GDPR nebo na čl. 9 odst. 4 GDPR, na základě kterých je zvláštní kategorie OÚ zpracovávána (např. </t>
        </r>
        <r>
          <rPr>
            <b/>
            <sz val="9"/>
            <color indexed="81"/>
            <rFont val="Tahoma"/>
            <family val="2"/>
            <charset val="238"/>
          </rPr>
          <t xml:space="preserve">a,c,4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b - § 36 a násl. z.č. 257/2016</t>
        </r>
        <r>
          <rPr>
            <sz val="9"/>
            <color indexed="81"/>
            <rFont val="Tahoma"/>
            <family val="2"/>
            <charset val="238"/>
          </rPr>
          <t xml:space="preserve">).
</t>
        </r>
        <r>
          <rPr>
            <u/>
            <sz val="9"/>
            <color indexed="81"/>
            <rFont val="Tahoma"/>
            <family val="2"/>
            <charset val="238"/>
          </rPr>
          <t>Podmínky pro zpracování zvláštní kategorie OÚ:</t>
        </r>
        <r>
          <rPr>
            <sz val="9"/>
            <color indexed="81"/>
            <rFont val="Tahoma"/>
            <family val="2"/>
            <charset val="238"/>
          </rPr>
          <t xml:space="preserve">
</t>
        </r>
        <r>
          <rPr>
            <b/>
            <sz val="9"/>
            <color indexed="81"/>
            <rFont val="Tahoma"/>
            <family val="2"/>
            <charset val="238"/>
          </rPr>
          <t>9/2a)</t>
        </r>
        <r>
          <rPr>
            <sz val="9"/>
            <color indexed="81"/>
            <rFont val="Tahoma"/>
            <family val="2"/>
            <charset val="238"/>
          </rPr>
          <t xml:space="preserve"> subjekt údajů udělil výslovný souhlas se zpracováním těchto osobních údajů pro jeden nebo více stanovených účelů, s výjimkou případů, kdy právo Unie nebo členského státu stanoví, že zákaz uvedený v odstavci 1 nemůže být subjektem údajů zrušen
</t>
        </r>
        <r>
          <rPr>
            <b/>
            <sz val="9"/>
            <color indexed="81"/>
            <rFont val="Tahoma"/>
            <family val="2"/>
            <charset val="238"/>
          </rPr>
          <t>9/2b)</t>
        </r>
        <r>
          <rPr>
            <sz val="9"/>
            <color indexed="81"/>
            <rFont val="Tahoma"/>
            <family val="2"/>
            <charset val="238"/>
          </rPr>
          <t xml:space="preserve"> zpracování je nezbytné pro účely plnění povinností a výkon zvláštních práv správce nebo subjektu údajů v oblasti pracovního práva a práva v oblasti sociálního zabezpečení a sociální ochrany, pokud je povoleno právem Unie nebo členského státu nebo kolektivní dohodou podle práva členského státu, v němž se stanoví vhodné záruky týkající se základních práv a zájmů subjektu údajů
</t>
        </r>
        <r>
          <rPr>
            <b/>
            <sz val="9"/>
            <color indexed="81"/>
            <rFont val="Tahoma"/>
            <family val="2"/>
            <charset val="238"/>
          </rPr>
          <t>9/2c)</t>
        </r>
        <r>
          <rPr>
            <sz val="9"/>
            <color indexed="81"/>
            <rFont val="Tahoma"/>
            <family val="2"/>
            <charset val="238"/>
          </rPr>
          <t xml:space="preserve"> zpracování je nutné pro ochranu životně důležitých zájmů subjektu údajů nebo jiné fyzické osoby v případě, že subjekt údajů není fyzicky nebo právně způsobilý udělit souhlas
</t>
        </r>
        <r>
          <rPr>
            <b/>
            <sz val="9"/>
            <color indexed="81"/>
            <rFont val="Tahoma"/>
            <family val="2"/>
            <charset val="238"/>
          </rPr>
          <t>9/2d)</t>
        </r>
        <r>
          <rPr>
            <sz val="9"/>
            <color indexed="81"/>
            <rFont val="Tahoma"/>
            <family val="2"/>
            <charset val="238"/>
          </rPr>
          <t xml:space="preserve"> zpracování provádí v rámci svých oprávněných činností a s vhodnými zárukami nadace, sdružení nebo jiný neziskový subjekt, který sleduje politické, filozofické, náboženské nebo odborové cíle, a za podmínky, že se zpracování vztahuje pouze na současné nebo bývalé členy tohoto subjektu nebo na osoby, které s ním udržují pravidelné styky související s jeho cíli, a že tyto osobní údaje nejsou bez souhlasu subjektu údajů zpřístupňovány mimo tento subjekt
</t>
        </r>
        <r>
          <rPr>
            <b/>
            <sz val="9"/>
            <color indexed="81"/>
            <rFont val="Tahoma"/>
            <family val="2"/>
            <charset val="238"/>
          </rPr>
          <t>9/2e)</t>
        </r>
        <r>
          <rPr>
            <sz val="9"/>
            <color indexed="81"/>
            <rFont val="Tahoma"/>
            <family val="2"/>
            <charset val="238"/>
          </rPr>
          <t xml:space="preserve"> zpracování se týká osobních údajů zjevně zveřejněných subjektem údajů
</t>
        </r>
        <r>
          <rPr>
            <b/>
            <sz val="9"/>
            <color indexed="81"/>
            <rFont val="Tahoma"/>
            <family val="2"/>
            <charset val="238"/>
          </rPr>
          <t>9/2f)</t>
        </r>
        <r>
          <rPr>
            <sz val="9"/>
            <color indexed="81"/>
            <rFont val="Tahoma"/>
            <family val="2"/>
            <charset val="238"/>
          </rPr>
          <t xml:space="preserve"> zpracování je nezbytné pro určení, výkon nebo obhajobu právních nároků nebo pokud soudy jednají v rámci svých soudních pravomocí
</t>
        </r>
        <r>
          <rPr>
            <b/>
            <sz val="9"/>
            <color indexed="81"/>
            <rFont val="Tahoma"/>
            <family val="2"/>
            <charset val="238"/>
          </rPr>
          <t>9/2g)</t>
        </r>
        <r>
          <rPr>
            <sz val="9"/>
            <color indexed="81"/>
            <rFont val="Tahoma"/>
            <family val="2"/>
            <charset val="238"/>
          </rPr>
          <t xml:space="preserve"> zpracování je nezbytné z důvodu významného veřejného zájmu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9/2h)</t>
        </r>
        <r>
          <rPr>
            <sz val="9"/>
            <color indexed="81"/>
            <rFont val="Tahoma"/>
            <family val="2"/>
            <charset val="238"/>
          </rPr>
          <t xml:space="preserve"> zpracování je nezbytné pro účely preventivního nebo pracovního lékařství, pro posouzení pracovní schopnosti zaměstnance, lékařské diagnostiky, poskytování zdravotní nebo sociální péče či léčby nebo řízení systémů a služeb zdravotní nebo sociální péče na základě práva Unie nebo členského státu nebo podle smlouvy se zdravotnickým pracovníkem a při splnění podmínek a záruk uvedených v odstavci 4
</t>
        </r>
        <r>
          <rPr>
            <b/>
            <sz val="9"/>
            <color indexed="81"/>
            <rFont val="Tahoma"/>
            <family val="2"/>
            <charset val="238"/>
          </rPr>
          <t xml:space="preserve">9/2i) </t>
        </r>
        <r>
          <rPr>
            <sz val="9"/>
            <color indexed="81"/>
            <rFont val="Tahoma"/>
            <family val="2"/>
            <charset val="238"/>
          </rPr>
          <t xml:space="preserve">zpracování je nezbytné z důvodů veřejného zájmu v oblasti veřejného zdraví, jako je ochrana před vážnými přeshraničními zdravotními hrozbami nebo zajištění přísných norem kvality a bezpečnosti zdravotní péče a léčivých přípravků nebo zdravotnických prostředků, na základě práva Unie nebo členského státu, které stanoví odpovídající a zvláštní opatření pro zajištění práv a svobod subjektu údajů, zejména služebního tajemství
</t>
        </r>
        <r>
          <rPr>
            <b/>
            <sz val="9"/>
            <color indexed="81"/>
            <rFont val="Tahoma"/>
            <family val="2"/>
            <charset val="238"/>
          </rPr>
          <t>9/2j)</t>
        </r>
        <r>
          <rPr>
            <sz val="9"/>
            <color indexed="81"/>
            <rFont val="Tahoma"/>
            <family val="2"/>
            <charset val="238"/>
          </rPr>
          <t xml:space="preserve"> zpracování je nezbytné pro účely archivace ve veřejném zájmu, pro účely vědeckého či historického výzkumu nebo pro statistické účely v souladu s čl. 89 odst. 1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 xml:space="preserve">9/4 </t>
        </r>
        <r>
          <rPr>
            <sz val="9"/>
            <color indexed="81"/>
            <rFont val="Tahoma"/>
            <family val="2"/>
            <charset val="238"/>
          </rPr>
          <t>Členské státy mohou zachovat nebo zavést další podmínky, včetně omezení, pokud jde o zpracování genetických údajů, biometrických údajů či údajů o zdravotním stavu.</t>
        </r>
      </text>
    </comment>
    <comment ref="C22" authorId="0" shapeId="0" xr:uid="{00000000-0006-0000-0500-000014000000}">
      <text>
        <r>
          <rPr>
            <sz val="9"/>
            <color indexed="81"/>
            <rFont val="Tahoma"/>
            <family val="2"/>
            <charset val="238"/>
          </rPr>
          <t xml:space="preserve">Uveďte, zda provádíte zpracování OÚ týkajících se rozsudků v trestních věcech a trestných činů podle čl. 10 GDPR.
</t>
        </r>
        <r>
          <rPr>
            <b/>
            <i/>
            <sz val="9"/>
            <color indexed="81"/>
            <rFont val="Tahoma"/>
            <family val="2"/>
            <charset val="238"/>
          </rPr>
          <t xml:space="preserve">Zpracování osobních údajů týkajících se rozsudků v trestních věcech a trestných činů či souvisejících bezpečnostních opatření na základě čl. 6 odst. 1 se může provádět pouze pod dozorem orgánu veřejné moci nebo pokud je oprávněné podle práva Unie nebo členského státu poskytujícího vhodné záruky, pokud jde o práva a svobody subjektů údajů. Jakýkoli souhrnný rejstřík trestů může být veden pouze pod dozorem orgánu veřejné moci. </t>
        </r>
        <r>
          <rPr>
            <sz val="9"/>
            <color indexed="81"/>
            <rFont val="Tahoma"/>
            <family val="2"/>
            <charset val="238"/>
          </rPr>
          <t>(čl. 10 GDPR)</t>
        </r>
      </text>
    </comment>
    <comment ref="C23" authorId="0" shapeId="0" xr:uid="{00000000-0006-0000-0500-000015000000}">
      <text>
        <r>
          <rPr>
            <sz val="9"/>
            <color indexed="81"/>
            <rFont val="Tahoma"/>
            <family val="2"/>
            <charset val="238"/>
          </rPr>
          <t xml:space="preserve">Uveďte přesný účel, pro který jsou osobní údaje v ř. 17, 20 a 22 zpracovávány. Pokud jsou některé druhy osobních údajů v rámci téhož zpracování zpracovávány za jiným účelem, podrobně tyto informace rozepište. 
</t>
        </r>
        <r>
          <rPr>
            <b/>
            <i/>
            <sz val="9"/>
            <color indexed="81"/>
            <rFont val="Tahoma"/>
            <family val="2"/>
            <charset val="238"/>
          </rPr>
          <t>Osobní údaje musí být:
b) shromažďovány pro určité, výslovně vyjádřené a legitimní účely a nesmějí být dále zpracovávány způsobem, který je s těmito účely neslučitelný; další zpracování pro účely archivace ve veřejném zájmu, pro účely vědeckého či historického výzkumu nebo pro statistické účely se podle čl. 89 odst. 1 nepovažuje za neslučitelné s původními účely („účelové omezení“)</t>
        </r>
        <r>
          <rPr>
            <sz val="9"/>
            <color indexed="81"/>
            <rFont val="Tahoma"/>
            <family val="2"/>
            <charset val="238"/>
          </rPr>
          <t xml:space="preserve"> (čl. 5 odst. 1 písm. b) GDPR).
</t>
        </r>
      </text>
    </comment>
    <comment ref="C24" authorId="0" shapeId="0" xr:uid="{00000000-0006-0000-0500-000016000000}">
      <text>
        <r>
          <rPr>
            <sz val="9"/>
            <color indexed="81"/>
            <rFont val="Tahoma"/>
            <family val="2"/>
            <charset val="238"/>
          </rPr>
          <t xml:space="preserve">Uveďte jednotlivé kategorie subjektu údajů, které budou předmětem zpracování osobních údajů (např. vlastní zaměstnanci, návštěvníci, pojištěnci, zaměstnanci dodavatelů služeb, dlužníci, ….).
</t>
        </r>
      </text>
    </comment>
    <comment ref="C25" authorId="0" shapeId="0" xr:uid="{00000000-0006-0000-0500-000017000000}">
      <text>
        <r>
          <rPr>
            <sz val="9"/>
            <color indexed="81"/>
            <rFont val="Tahoma"/>
            <family val="2"/>
            <charset val="238"/>
          </rPr>
          <t>Zvolte jednu z možných kategorií předávání osobních údajů do zahraničí.</t>
        </r>
      </text>
    </comment>
    <comment ref="C26" authorId="0" shapeId="0" xr:uid="{00000000-0006-0000-0500-000018000000}">
      <text>
        <r>
          <rPr>
            <sz val="9"/>
            <color indexed="81"/>
            <rFont val="Tahoma"/>
            <family val="2"/>
            <charset val="238"/>
          </rPr>
          <t>Uveďte dobu, po kterou budou osobní údaje uchovány a není-li ji možné určit, kritéria použitá ke stanovení této doby. Doba může být vyjádřena rovněž uplynutím určité události (např. 2 roky od zakoupení zboží). Nelze akceptovat dobu vyjádřenou slovy "nekonečně", "dle rozhodnutí správce", "na neurčito", "podle potřeby" apod. Pokud dobu uložení stanoví obecně závazný právní předpis, lze uvést odkaz na příslušný právní předpis, např. "podle z.č. 12x/20yy Sb." Zvolit lze odkaz na příslušný vnitřní předpis, např. "podle spisového a skartačního řádu č. xx/yyyy" (pak je třeba zrevidovat příslušné ustanovení spisového a skartačního řádu).</t>
        </r>
      </text>
    </comment>
    <comment ref="C27" authorId="0" shapeId="0" xr:uid="{00000000-0006-0000-0500-000019000000}">
      <text>
        <r>
          <rPr>
            <sz val="9"/>
            <color indexed="81"/>
            <rFont val="Tahoma"/>
            <family val="2"/>
            <charset val="238"/>
          </rPr>
          <t xml:space="preserve">Uveďte právní důvod doby uložení OÚ odkazem na příslušné ustanovení obecně závazného právního předpisu podobně jako u doby uložení a není-li dán, pak vlastní odůvodnění doby uložení OÚ (např. "na základě pravidel dotací z Evropských strukturálních a investičních fondů".
</t>
        </r>
      </text>
    </comment>
    <comment ref="C28" authorId="0" shapeId="0" xr:uid="{00000000-0006-0000-0500-00001A000000}">
      <text>
        <r>
          <rPr>
            <sz val="9"/>
            <color indexed="81"/>
            <rFont val="Tahoma"/>
            <family val="2"/>
            <charset val="238"/>
          </rPr>
          <t xml:space="preserve">Vyplňte pouze v případě, že osobní údaje jsou ukládány v listinné podobě nebo na externích nosičích (DVD, flash disk, …), např. budova B, 1PP, archiv nebo kancelář č. 236 apod. Umístění počítačů, serverů a dalšího HW vybavení neuvádějte. </t>
        </r>
      </text>
    </comment>
    <comment ref="C29" authorId="0" shapeId="0" xr:uid="{00000000-0006-0000-0500-00001B000000}">
      <text>
        <r>
          <rPr>
            <sz val="9"/>
            <color indexed="81"/>
            <rFont val="Tahoma"/>
            <family val="2"/>
            <charset val="238"/>
          </rPr>
          <t xml:space="preserve">Vyberte jednu z možností, zda provádíte profilování. </t>
        </r>
        <r>
          <rPr>
            <b/>
            <i/>
            <sz val="9"/>
            <color indexed="81"/>
            <rFont val="Tahoma"/>
            <family val="2"/>
            <charset val="238"/>
          </rPr>
          <t xml:space="preserve">
„Profilováním“ se rozumí jakákoli forma automatizovaného zpracování osobních údajů spočívající v jejich použití k hodnocení některých osobních aspektů vztahujících se k fyzické osobě, zejména k rozboru nebo odhadu aspektů týkajících se jejího pracovního výkonu, ekonomické situace, zdravotního stavu, osobních preferencí, zájmů, spolehlivosti, chování, místa, kde se nachází, nebo pohybu.</t>
        </r>
        <r>
          <rPr>
            <sz val="9"/>
            <color indexed="81"/>
            <rFont val="Tahoma"/>
            <family val="2"/>
            <charset val="238"/>
          </rPr>
          <t xml:space="preserve"> (čl. 4 odst. 4 GDPR)</t>
        </r>
      </text>
    </comment>
    <comment ref="C30" authorId="0" shapeId="0" xr:uid="{00000000-0006-0000-0500-00001C000000}">
      <text>
        <r>
          <rPr>
            <sz val="9"/>
            <color indexed="81"/>
            <rFont val="Tahoma"/>
            <family val="2"/>
            <charset val="238"/>
          </rPr>
          <t xml:space="preserve">Uveďte, zda je dán důvod pro posouzení vlivu na OOÚ.
</t>
        </r>
        <r>
          <rPr>
            <b/>
            <i/>
            <sz val="9"/>
            <color indexed="81"/>
            <rFont val="Tahoma"/>
            <family val="2"/>
            <charset val="238"/>
          </rPr>
          <t xml:space="preserve">Pokud je pravděpodobné, že určitý druh zpracování, zejména při využití nových technologií, bude s přihlédnutím k povaze, rozsahu, kontextu a účelům zpracování bude mít za následek vysoké riziko pro práva a svobody fyzických osob, provede správce před zpracováním posouzení vlivu zamýšlených operací zpracování na ochranu osobních údajů. Pro soubor podobných operací zpracování, které představují podobné riziko, může stačit jedno posouzení. </t>
        </r>
        <r>
          <rPr>
            <sz val="9"/>
            <color indexed="81"/>
            <rFont val="Tahoma"/>
            <family val="2"/>
            <charset val="238"/>
          </rPr>
          <t xml:space="preserve">(čl. 35 odst. 1 GDPR)
</t>
        </r>
      </text>
    </comment>
    <comment ref="C31" authorId="0" shapeId="0" xr:uid="{00000000-0006-0000-0500-00001D000000}">
      <text>
        <r>
          <rPr>
            <sz val="9"/>
            <color indexed="81"/>
            <rFont val="Tahoma"/>
            <family val="2"/>
            <charset val="238"/>
          </rPr>
          <t xml:space="preserve">Uveďte, zda bylo provedeno posouzení vlivu na OOÚ.
</t>
        </r>
      </text>
    </comment>
    <comment ref="C32" authorId="0" shapeId="0" xr:uid="{00000000-0006-0000-0500-00001E000000}">
      <text>
        <r>
          <rPr>
            <sz val="9"/>
            <color indexed="81"/>
            <rFont val="Tahoma"/>
            <family val="2"/>
            <charset val="238"/>
          </rPr>
          <t xml:space="preserve">Uvede se existence společného správce ve smyslu čl. 26 odst. 1 GDPR.
</t>
        </r>
        <r>
          <rPr>
            <b/>
            <i/>
            <sz val="9"/>
            <color indexed="81"/>
            <rFont val="Tahoma"/>
            <family val="2"/>
            <charset val="238"/>
          </rPr>
          <t>Pokud účely a prostředky zpracování stanoví společně dva nebo více správců, jsou společnými správci. Společní správci mezi sebou transparentním ujednáním vymezí své podíly na odpovědnosti za plnění povinností podle tohoto nařízení, zejména pokud jde o výkon práv subjektu údajů, a své povinnosti poskytovat informace uvedené v článcích 13 a 14, pokud tuto odpovědnost správců nestanoví právo Unie nebo členského státu, které se na správce vztahuje. V ujednání může být určeno kontaktní místo pro subjekty údajů.</t>
        </r>
        <r>
          <rPr>
            <i/>
            <sz val="9"/>
            <color indexed="81"/>
            <rFont val="Tahoma"/>
            <family val="2"/>
            <charset val="238"/>
          </rPr>
          <t xml:space="preserve"> (čl. odst. 1 GDPR)</t>
        </r>
      </text>
    </comment>
    <comment ref="C34" authorId="0" shapeId="0" xr:uid="{00000000-0006-0000-0500-00001F000000}">
      <text>
        <r>
          <rPr>
            <sz val="9"/>
            <color indexed="81"/>
            <rFont val="Tahoma"/>
            <family val="2"/>
            <charset val="238"/>
          </rPr>
          <t xml:space="preserve">Zpracovatel ve smyslu čl. 28 GDPR, tedy jakýkoliv jiný subjekt, než subjekt uvedený v listu "Úvod". Zpracovatelem není zaměstnanec správce.
</t>
        </r>
        <r>
          <rPr>
            <b/>
            <i/>
            <sz val="9"/>
            <color indexed="81"/>
            <rFont val="Tahoma"/>
            <family val="2"/>
            <charset val="238"/>
          </rPr>
          <t>„zpracovatelem“ fyzická nebo právnická osoba, orgán veřejné moci, agentura nebo jiný subjekt, který zpracovává osobní údaje pro správce</t>
        </r>
        <r>
          <rPr>
            <sz val="9"/>
            <color indexed="81"/>
            <rFont val="Tahoma"/>
            <family val="2"/>
            <charset val="238"/>
          </rPr>
          <t xml:space="preserve"> (čl. 4 odst. 8 GDPR)</t>
        </r>
      </text>
    </comment>
    <comment ref="C35" authorId="0" shapeId="0" xr:uid="{00000000-0006-0000-0500-000020000000}">
      <text>
        <r>
          <rPr>
            <sz val="9"/>
            <color indexed="81"/>
            <rFont val="Tahoma"/>
            <family val="2"/>
            <charset val="238"/>
          </rPr>
          <t>Uveďte počet zpracovatelů, kteří se podílení na zpracování, které je předmětem tohoto check listu.</t>
        </r>
      </text>
    </comment>
    <comment ref="C38" authorId="0" shapeId="0" xr:uid="{00000000-0006-0000-0500-000021000000}">
      <text>
        <r>
          <rPr>
            <sz val="9"/>
            <color indexed="81"/>
            <rFont val="Tahoma"/>
            <family val="2"/>
            <charset val="238"/>
          </rPr>
          <t>Pro vyplnění buněk C38 - C40 použijte údaje z obchodního nebo jiného rejstříku.</t>
        </r>
      </text>
    </comment>
    <comment ref="C41" authorId="0" shapeId="0" xr:uid="{00000000-0006-0000-0500-000022000000}">
      <text>
        <r>
          <rPr>
            <sz val="9"/>
            <color indexed="81"/>
            <rFont val="Tahoma"/>
            <family val="2"/>
            <charset val="238"/>
          </rPr>
          <t>Uveďte osobu odpovědnou za zpracování osobních údajů (např. dle smlouvy o zpracování osobních údajů).</t>
        </r>
      </text>
    </comment>
    <comment ref="C44" authorId="0" shapeId="0" xr:uid="{00000000-0006-0000-0500-000023000000}">
      <text>
        <r>
          <rPr>
            <sz val="9"/>
            <color indexed="81"/>
            <rFont val="Tahoma"/>
            <family val="2"/>
            <charset val="238"/>
          </rPr>
          <t>Použijte jednu z nabízených možností.</t>
        </r>
      </text>
    </comment>
    <comment ref="C45" authorId="0" shapeId="0" xr:uid="{00000000-0006-0000-0500-000024000000}">
      <text>
        <r>
          <rPr>
            <sz val="9"/>
            <color indexed="81"/>
            <rFont val="Tahoma"/>
            <family val="2"/>
            <charset val="238"/>
          </rPr>
          <t>Uveďte ustanovení příslušného právního předpisu.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Vladimír Nesvadba</author>
  </authors>
  <commentList>
    <comment ref="C2" authorId="0" shapeId="0" xr:uid="{00000000-0006-0000-0600-000001000000}">
      <text>
        <r>
          <rPr>
            <sz val="9"/>
            <color indexed="81"/>
            <rFont val="Tahoma"/>
            <family val="2"/>
            <charset val="238"/>
          </rPr>
          <t xml:space="preserve">Uveďte název zpracování, kterým je nejlépe vystižena agenda, v níž jsou osobní údaje zpracovány (Personální a mzdová evidence, Evidence držitelů vstupních karet, Kamerový systém, Dodavatelské a odběratelské smlouvy, ....). Název zpracování se bude používat v navazujících dokumentech.
</t>
        </r>
      </text>
    </comment>
    <comment ref="C3" authorId="0" shapeId="0" xr:uid="{00000000-0006-0000-0600-000002000000}">
      <text>
        <r>
          <rPr>
            <sz val="9"/>
            <color indexed="81"/>
            <rFont val="Tahoma"/>
            <family val="2"/>
            <charset val="238"/>
          </rPr>
          <t xml:space="preserve">Každé zpracování označte jedinečným označením (forma číslování není stanovena). Číslo pak použijte v názvu daného listu, např. "35", "RSV-02" apod.
</t>
        </r>
      </text>
    </comment>
    <comment ref="C4" authorId="0" shapeId="0" xr:uid="{00000000-0006-0000-0600-000003000000}">
      <text>
        <r>
          <rPr>
            <sz val="9"/>
            <color indexed="81"/>
            <rFont val="Tahoma"/>
            <family val="2"/>
            <charset val="238"/>
          </rPr>
          <t>Organizační jednotkou je myšlena organizační součást správce, který zpracování provádí (např. ekonomický odbor, personální oddělení apod.). Nejsou-li organizační součásti zavedeny, údaj se nevyplňuje.</t>
        </r>
      </text>
    </comment>
    <comment ref="C5" authorId="0" shapeId="0" xr:uid="{00000000-0006-0000-0600-000004000000}">
      <text>
        <r>
          <rPr>
            <sz val="9"/>
            <color indexed="81"/>
            <rFont val="Tahoma"/>
            <family val="2"/>
            <charset val="238"/>
          </rPr>
          <t>Vyplňte pouze v případě, že organizační součást má přidělené vlastní číslo, pod kterým je v příslušných interních aktech řízení uváděna.</t>
        </r>
      </text>
    </comment>
    <comment ref="C6" authorId="0" shapeId="0" xr:uid="{00000000-0006-0000-0600-000005000000}">
      <text>
        <r>
          <rPr>
            <sz val="9"/>
            <color indexed="81"/>
            <rFont val="Tahoma"/>
            <family val="2"/>
            <charset val="238"/>
          </rPr>
          <t xml:space="preserve">Odpovědná osoba za danou oblast zpracování (uveďte </t>
        </r>
        <r>
          <rPr>
            <b/>
            <sz val="9"/>
            <color indexed="81"/>
            <rFont val="Tahoma"/>
            <family val="2"/>
            <charset val="238"/>
          </rPr>
          <t>titul, jméno, příjmení, pracovní pozici</t>
        </r>
        <r>
          <rPr>
            <sz val="9"/>
            <color indexed="81"/>
            <rFont val="Tahoma"/>
            <family val="2"/>
            <charset val="238"/>
          </rPr>
          <t>). Uvedená osoba by měla být současně respondentem tohoto check listu. Nedoporučujeme, aby byla jmenována více, než jedna odpovědná osoba za jedno identifikované zpracování.</t>
        </r>
      </text>
    </comment>
    <comment ref="C7" authorId="0" shapeId="0" xr:uid="{00000000-0006-0000-0600-000006000000}">
      <text>
        <r>
          <rPr>
            <sz val="9"/>
            <color indexed="81"/>
            <rFont val="Tahoma"/>
            <family val="2"/>
            <charset val="238"/>
          </rPr>
          <t xml:space="preserve">Uveďte pracovní e-mail odpovědné osoby.
</t>
        </r>
      </text>
    </comment>
    <comment ref="C8" authorId="0" shapeId="0" xr:uid="{00000000-0006-0000-0600-000007000000}">
      <text>
        <r>
          <rPr>
            <sz val="9"/>
            <color indexed="81"/>
            <rFont val="Tahoma"/>
            <family val="2"/>
            <charset val="238"/>
          </rPr>
          <t xml:space="preserve">Uveďte pracovní telefonní číslo
odpovědné osoby.
</t>
        </r>
      </text>
    </comment>
    <comment ref="C9" authorId="0" shapeId="0" xr:uid="{00000000-0006-0000-0600-000008000000}">
      <text>
        <r>
          <rPr>
            <sz val="9"/>
            <color indexed="81"/>
            <rFont val="Tahoma"/>
            <family val="2"/>
            <charset val="238"/>
          </rPr>
          <t>Uveďte výčet pracovních pozic spolu se zařazením do organizačních jednotek, které jsou oprávněny zpracovávat předmětné OÚ. Výčet těchto pozic má vliv na pozdější stanovení bezpečnostních opatření, zejména pak v oblasti fyzické bezpečnosti a bezpečnosti IT. Nezapomínejte na osoby, které mají oprávnění na základě svých specifických pracovních povinností, např. generální ředitel, právník, interní auditoři apod., vč. osob, které zajišťují případnou zastupitelnost.</t>
        </r>
      </text>
    </comment>
    <comment ref="C10" authorId="0" shapeId="0" xr:uid="{00000000-0006-0000-0600-000009000000}">
      <text>
        <r>
          <rPr>
            <sz val="9"/>
            <color indexed="81"/>
            <rFont val="Tahoma"/>
            <family val="2"/>
            <charset val="238"/>
          </rPr>
          <t xml:space="preserve">Vyplňte pouze v případě, že příjemcem osobních údajů budou osoby mimo subjekt údajů a správce, vč. jeho zaměstnanců. Tyto osoby pak specifikujte (např. komerční pojišťovny, ČSSZ, zdravotní pojišťovny, smluvní partneři atd.) Neuvádějte subjekty uvedené ve větě druhé citované definice.
</t>
        </r>
        <r>
          <rPr>
            <b/>
            <i/>
            <sz val="9"/>
            <color indexed="81"/>
            <rFont val="Tahoma"/>
            <family val="2"/>
            <charset val="238"/>
          </rPr>
          <t xml:space="preserve">„příjemcem“ fyzická nebo právnická osoba, orgán veřejné moci, agentura nebo jiný subjekt, kterým jsou osobní údaje poskytnuty, ať už se jedná o třetí stranu, či nikoli. Avšak orgány veřejné moci, které mohou získávat osobní údaje v rámci zvláštního šetření v souladu s právem členského státu, se za příjemce nepovažují; zpracování těchto osobních údajů těmito orgány veřejné moci musí být v souladu s použitelnými pravidly ochrany údajů pro dané účely zpracování </t>
        </r>
        <r>
          <rPr>
            <i/>
            <sz val="9"/>
            <color indexed="81"/>
            <rFont val="Tahoma"/>
            <family val="2"/>
            <charset val="238"/>
          </rPr>
          <t>(čl. 4 odst. 9 GDPR)</t>
        </r>
      </text>
    </comment>
    <comment ref="C12" authorId="0" shapeId="0" xr:uid="{00000000-0006-0000-0600-00000A000000}">
      <text>
        <r>
          <rPr>
            <sz val="9"/>
            <color indexed="81"/>
            <rFont val="Tahoma"/>
            <family val="2"/>
            <charset val="238"/>
          </rPr>
          <t>Uveďte počet subjektů údajů (zaokrouhleně), k nimž se OÚ zpracovávají, např. "20", "300", "12.000". Nezapomeňte na osoby, jejichž údaje aktivně nevyužíváte, přesto jejich OÚ archivujete, např. v případě personální evidence. Je-li současný počet zaměstnanců 400, společnost působí na trhu 18 let a roční fluktuace činí cca 40 osob, pak celkový počet subjektů údajů bude 400 + (18 * 40) = 1.120</t>
        </r>
      </text>
    </comment>
    <comment ref="C13" authorId="0" shapeId="0" xr:uid="{00000000-0006-0000-0600-00000B000000}">
      <text>
        <r>
          <rPr>
            <sz val="9"/>
            <color indexed="81"/>
            <rFont val="Tahoma"/>
            <family val="2"/>
            <charset val="238"/>
          </rPr>
          <t>Uveďte všechna místa zpracování, pokud jsou odlišná od sídla uvedeného na listu "Úvod". Uveďte přesné adresy a stát, pokud není místo v České republice.</t>
        </r>
      </text>
    </comment>
    <comment ref="C14" authorId="0" shapeId="0" xr:uid="{00000000-0006-0000-0600-00000C000000}">
      <text>
        <r>
          <rPr>
            <sz val="9"/>
            <color indexed="81"/>
            <rFont val="Tahoma"/>
            <family val="2"/>
            <charset val="238"/>
          </rPr>
          <t xml:space="preserve">Uveďte, z jakých zdrojů OÚ shromažďujete:
- </t>
        </r>
        <r>
          <rPr>
            <b/>
            <sz val="9"/>
            <color indexed="81"/>
            <rFont val="Tahoma"/>
            <family val="2"/>
            <charset val="238"/>
          </rPr>
          <t>od subjektu údajů</t>
        </r>
        <r>
          <rPr>
            <sz val="9"/>
            <color indexed="81"/>
            <rFont val="Tahoma"/>
            <family val="2"/>
            <charset val="238"/>
          </rPr>
          <t xml:space="preserve">
- </t>
        </r>
        <r>
          <rPr>
            <b/>
            <sz val="9"/>
            <color indexed="81"/>
            <rFont val="Tahoma"/>
            <family val="2"/>
            <charset val="238"/>
          </rPr>
          <t>z veřejných zdrojů</t>
        </r>
        <r>
          <rPr>
            <sz val="9"/>
            <color indexed="81"/>
            <rFont val="Tahoma"/>
            <family val="2"/>
            <charset val="238"/>
          </rPr>
          <t xml:space="preserve"> (specifikujte z jakých zdrojů)
- </t>
        </r>
        <r>
          <rPr>
            <b/>
            <sz val="9"/>
            <color indexed="81"/>
            <rFont val="Tahoma"/>
            <family val="2"/>
            <charset val="238"/>
          </rPr>
          <t>z jiných zdrojů</t>
        </r>
        <r>
          <rPr>
            <sz val="9"/>
            <color indexed="81"/>
            <rFont val="Tahoma"/>
            <family val="2"/>
            <charset val="238"/>
          </rPr>
          <t xml:space="preserve"> (specifikujte z jakých zdrojů)
Zdroje mohou být uvedeny kumulativně, např.: "od subjektu údajů, z veřejných zdrojů - OR, ARES".</t>
        </r>
      </text>
    </comment>
    <comment ref="C15" authorId="0" shapeId="0" xr:uid="{00000000-0006-0000-0600-00000D000000}">
      <text>
        <r>
          <rPr>
            <sz val="9"/>
            <color indexed="81"/>
            <rFont val="Tahoma"/>
            <family val="2"/>
            <charset val="238"/>
          </rPr>
          <t>Vyberte jeden z nabízených způsobů zpracování. 
V systémech automatizovaného zpracování by omezení zpracování mělo být v zásadě zajištěno technickými prostředky tak, aby se na osobní údaje již nevztahovaly žádné další operace zpracování a aby nemohly být změněny.
Neautomatizovaným zpracováním se rozumí manuální zpracování zejména v listinné podobě.</t>
        </r>
      </text>
    </comment>
    <comment ref="C16" authorId="0" shapeId="0" xr:uid="{00000000-0006-0000-0600-00000E000000}">
      <text>
        <r>
          <rPr>
            <sz val="9"/>
            <color indexed="81"/>
            <rFont val="Tahoma"/>
            <family val="2"/>
            <charset val="238"/>
          </rPr>
          <t xml:space="preserve">Uveďte, zda provádíte přeshraniční zpracování OÚ dle níže uvedené definice přeshraničního zpracování.
</t>
        </r>
        <r>
          <rPr>
            <b/>
            <i/>
            <sz val="9"/>
            <color indexed="81"/>
            <rFont val="Tahoma"/>
            <family val="2"/>
            <charset val="238"/>
          </rPr>
          <t xml:space="preserve">„přeshraničním zpracováním“ buď: 
a) zpracování osobních údajů, které probíhá v souvislosti s činnostmi provozoven ve více než jednom členském státě správce či zpracovatele v Unii, je-li tento správce či zpracovatel usazen ve více než jednom členském státě; nebo 
b) zpracování osobních údajů, které probíhá v souvislosti s činnostmi jediné provozovny správce či zpracovatele v Unii, ale kterým jsou nebo pravděpodobně budou podstatně dotčeny subjekty údajů ve více než jednom členském státě </t>
        </r>
        <r>
          <rPr>
            <sz val="9"/>
            <color indexed="81"/>
            <rFont val="Tahoma"/>
            <family val="2"/>
            <charset val="238"/>
          </rPr>
          <t>(čl. 4 odst. 23 GDPR)</t>
        </r>
      </text>
    </comment>
    <comment ref="C17" authorId="0" shapeId="0" xr:uid="{00000000-0006-0000-0600-00000F000000}">
      <text>
        <r>
          <rPr>
            <sz val="9"/>
            <color indexed="81"/>
            <rFont val="Tahoma"/>
            <family val="2"/>
            <charset val="238"/>
          </rPr>
          <t xml:space="preserve">Vypište všechny informace o fyzické osobě, které v souvislosti s předmětným zpracováním OÚ shromažďujete (např. titul, jméno, příjmení, r.č., bydliště, čísla a druh dokladů, číslo účtu, fotografie, telefonní číslo, e-mailová adresa, osobní evidenční číslo atd.). 
</t>
        </r>
        <r>
          <rPr>
            <b/>
            <i/>
            <sz val="9"/>
            <color indexed="81"/>
            <rFont val="Tahoma"/>
            <family val="2"/>
            <charset val="238"/>
          </rPr>
          <t>„Osobními údaji“ jsou veškeré informace o identifikované nebo identifikovatelné fyzické osobě (dále jen „subjekt údajů“); identifikovatelnou fyzickou osobou je fyzická osoba, kterou lze přímo či nepřímo identifikovat, zejména odkazem na určitý identifikátor, například jméno, identifikační číslo, lokační údaje, síťový identifikátor nebo na jeden či více zvláštních prvků fyzické, fyziologické, genetické, psychické, ekonomické, kulturní nebo společenské identity této fyzické osoby.</t>
        </r>
        <r>
          <rPr>
            <sz val="9"/>
            <color indexed="81"/>
            <rFont val="Tahoma"/>
            <family val="2"/>
            <charset val="238"/>
          </rPr>
          <t xml:space="preserve"> (čl. 4 odst. 1 GDPR)</t>
        </r>
      </text>
    </comment>
    <comment ref="C18" authorId="0" shapeId="0" xr:uid="{00000000-0006-0000-0600-000010000000}">
      <text>
        <r>
          <rPr>
            <sz val="9"/>
            <color indexed="81"/>
            <rFont val="Tahoma"/>
            <family val="2"/>
            <charset val="238"/>
          </rPr>
          <t xml:space="preserve">Uveďte příslušná písmena z čl. 6 odst. 1 GDPR, na základě kterých jsou OÚ zpracovávány (např. </t>
        </r>
        <r>
          <rPr>
            <b/>
            <sz val="9"/>
            <color indexed="81"/>
            <rFont val="Tahoma"/>
            <family val="2"/>
            <charset val="238"/>
          </rPr>
          <t>a,c</t>
        </r>
        <r>
          <rPr>
            <sz val="9"/>
            <color indexed="81"/>
            <rFont val="Tahoma"/>
            <family val="2"/>
            <charset val="238"/>
          </rPr>
          <t>)</t>
        </r>
        <r>
          <rPr>
            <b/>
            <sz val="9"/>
            <color indexed="81"/>
            <rFont val="Tahoma"/>
            <family val="2"/>
            <charset val="238"/>
          </rPr>
          <t xml:space="preserve">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c - § 36 a násl. z.č. 257/2016</t>
        </r>
        <r>
          <rPr>
            <sz val="9"/>
            <color indexed="81"/>
            <rFont val="Tahoma"/>
            <family val="2"/>
            <charset val="238"/>
          </rPr>
          <t xml:space="preserve">).
</t>
        </r>
        <r>
          <rPr>
            <u/>
            <sz val="9"/>
            <color indexed="81"/>
            <rFont val="Tahoma"/>
            <family val="2"/>
            <charset val="238"/>
          </rPr>
          <t xml:space="preserve">Podmínky pro zpracování OÚ:
</t>
        </r>
        <r>
          <rPr>
            <sz val="9"/>
            <color indexed="81"/>
            <rFont val="Tahoma"/>
            <family val="2"/>
            <charset val="238"/>
          </rPr>
          <t xml:space="preserve">Zpracování je zákonné, pouze pokud je splněna nejméně jedna z těchto podmínek a pouze v odpovídajícím rozsahu: 
</t>
        </r>
        <r>
          <rPr>
            <b/>
            <sz val="9"/>
            <color indexed="81"/>
            <rFont val="Tahoma"/>
            <family val="2"/>
            <charset val="238"/>
          </rPr>
          <t>6/1a)</t>
        </r>
        <r>
          <rPr>
            <sz val="9"/>
            <color indexed="81"/>
            <rFont val="Tahoma"/>
            <family val="2"/>
            <charset val="238"/>
          </rPr>
          <t xml:space="preserve"> subjekt údajů udělil souhlas se zpracováním svých osobních údajů pro jeden či více konkrétních účelů
</t>
        </r>
        <r>
          <rPr>
            <b/>
            <sz val="9"/>
            <color indexed="81"/>
            <rFont val="Tahoma"/>
            <family val="2"/>
            <charset val="238"/>
          </rPr>
          <t>6/1b)</t>
        </r>
        <r>
          <rPr>
            <sz val="9"/>
            <color indexed="81"/>
            <rFont val="Tahoma"/>
            <family val="2"/>
            <charset val="238"/>
          </rPr>
          <t xml:space="preserve"> zpracování je nezbytné pro splnění smlouvy, jejíž smluvní stranou je subjekt údajů, nebo pro provedení opatření přijatých před uzavřením smlouvy na žádost tohoto subjektu údajů
</t>
        </r>
        <r>
          <rPr>
            <b/>
            <sz val="9"/>
            <color indexed="81"/>
            <rFont val="Tahoma"/>
            <family val="2"/>
            <charset val="238"/>
          </rPr>
          <t>6/1c)</t>
        </r>
        <r>
          <rPr>
            <sz val="9"/>
            <color indexed="81"/>
            <rFont val="Tahoma"/>
            <family val="2"/>
            <charset val="238"/>
          </rPr>
          <t xml:space="preserve"> zpracování je nezbytné pro splnění právní povinnosti, která se na správce vztahuje
</t>
        </r>
        <r>
          <rPr>
            <b/>
            <sz val="9"/>
            <color indexed="81"/>
            <rFont val="Tahoma"/>
            <family val="2"/>
            <charset val="238"/>
          </rPr>
          <t>6/1d)</t>
        </r>
        <r>
          <rPr>
            <sz val="9"/>
            <color indexed="81"/>
            <rFont val="Tahoma"/>
            <family val="2"/>
            <charset val="238"/>
          </rPr>
          <t xml:space="preserve"> zpracování je nezbytné pro ochranu životně důležitých zájmů subjektu údajů nebo jiné fyzické osoby
</t>
        </r>
        <r>
          <rPr>
            <b/>
            <sz val="9"/>
            <color indexed="81"/>
            <rFont val="Tahoma"/>
            <family val="2"/>
            <charset val="238"/>
          </rPr>
          <t>6/1e)</t>
        </r>
        <r>
          <rPr>
            <sz val="9"/>
            <color indexed="81"/>
            <rFont val="Tahoma"/>
            <family val="2"/>
            <charset val="238"/>
          </rPr>
          <t xml:space="preserve"> zpracování je nezbytné pro splnění úkolu prováděného ve veřejném zájmu nebo při výkonu veřejné moci, kterým je pověřen správce
</t>
        </r>
        <r>
          <rPr>
            <b/>
            <sz val="9"/>
            <color indexed="81"/>
            <rFont val="Tahoma"/>
            <family val="2"/>
            <charset val="238"/>
          </rPr>
          <t>6/1f)</t>
        </r>
        <r>
          <rPr>
            <sz val="9"/>
            <color indexed="81"/>
            <rFont val="Tahoma"/>
            <family val="2"/>
            <charset val="238"/>
          </rPr>
          <t xml:space="preserve"> zpracování je nezbytné pro účely oprávněných zájmů příslušného správce či třetí strany, kromě případů, kdy před těmito zájmy mají přednost zájmy nebo základní práva a svobody subjektu údajů vyžadující ochranu osobních údajů, zejména pokud je subjektem údajů dítě.
</t>
        </r>
      </text>
    </comment>
    <comment ref="C19" authorId="0" shapeId="0" xr:uid="{00000000-0006-0000-0600-000011000000}">
      <text>
        <r>
          <rPr>
            <sz val="9"/>
            <color indexed="81"/>
            <rFont val="Tahoma"/>
            <family val="2"/>
            <charset val="238"/>
          </rPr>
          <t xml:space="preserve">Uveďte, zda provádíte zpracování zvláštní kategorie OÚ uvedených v čl. 9 odst. 1  GDPR, tedy OÚ </t>
        </r>
        <r>
          <rPr>
            <u/>
            <sz val="9"/>
            <color indexed="81"/>
            <rFont val="Tahoma"/>
            <family val="2"/>
            <charset val="238"/>
          </rPr>
          <t>vypovídajících o:</t>
        </r>
        <r>
          <rPr>
            <sz val="9"/>
            <color indexed="81"/>
            <rFont val="Tahoma"/>
            <family val="2"/>
            <charset val="238"/>
          </rPr>
          <t xml:space="preserve">
</t>
        </r>
        <r>
          <rPr>
            <b/>
            <sz val="9"/>
            <color indexed="81"/>
            <rFont val="Tahoma"/>
            <family val="2"/>
            <charset val="238"/>
          </rPr>
          <t>rasovém či etnickém původu, 
politických názorech, 
náboženském vyznání či filozofickém přesvědčení 
členství v odborech,</t>
        </r>
        <r>
          <rPr>
            <sz val="9"/>
            <color indexed="81"/>
            <rFont val="Tahoma"/>
            <family val="2"/>
            <charset val="238"/>
          </rPr>
          <t xml:space="preserve">
</t>
        </r>
        <r>
          <rPr>
            <u/>
            <sz val="9"/>
            <color indexed="81"/>
            <rFont val="Tahoma"/>
            <family val="2"/>
            <charset val="238"/>
          </rPr>
          <t>zpracování:</t>
        </r>
        <r>
          <rPr>
            <sz val="9"/>
            <color indexed="81"/>
            <rFont val="Tahoma"/>
            <family val="2"/>
            <charset val="238"/>
          </rPr>
          <t xml:space="preserve">
</t>
        </r>
        <r>
          <rPr>
            <b/>
            <sz val="9"/>
            <color indexed="81"/>
            <rFont val="Tahoma"/>
            <family val="2"/>
            <charset val="238"/>
          </rPr>
          <t xml:space="preserve">genetických údajů nebo biometrických údajů za účelem jedinečné identifikace fyzické osoby 
údajů o zdravotním stavu 
údajů o sexuálním životě nebo sexuální orientaci fyzické osoby
</t>
        </r>
        <r>
          <rPr>
            <sz val="9"/>
            <color indexed="81"/>
            <rFont val="Tahoma"/>
            <family val="2"/>
            <charset val="238"/>
          </rPr>
          <t xml:space="preserve">
</t>
        </r>
        <r>
          <rPr>
            <b/>
            <i/>
            <sz val="9"/>
            <color indexed="81"/>
            <rFont val="Tahoma"/>
            <family val="2"/>
            <charset val="238"/>
          </rPr>
          <t>„genetickými údaji“ osobní údaje týkající se zděděných nebo získaných genetických znaků fyzické osoby, které poskytují jedinečné informace o její fyziologii či zdraví a které vyplývají zejména z analýzy biologického vzorku dotčené fyzické osoby</t>
        </r>
        <r>
          <rPr>
            <i/>
            <sz val="9"/>
            <color indexed="81"/>
            <rFont val="Tahoma"/>
            <family val="2"/>
            <charset val="238"/>
          </rPr>
          <t xml:space="preserve"> (čl. 4 odst. 13 GDPR)</t>
        </r>
        <r>
          <rPr>
            <b/>
            <i/>
            <sz val="9"/>
            <color indexed="81"/>
            <rFont val="Tahoma"/>
            <family val="2"/>
            <charset val="238"/>
          </rPr>
          <t xml:space="preserve">
„biometrickými údaji“ osobní údaje vyplývající z konkrétního technického zpracování týkající se fyzických či fyziologických znaků nebo znaků chování fyzické osoby, které umožňuje nebo potvrzuje jedinečnou identifikaci, například zobrazení obličeje nebo daktyloskopické údaje</t>
        </r>
        <r>
          <rPr>
            <i/>
            <sz val="9"/>
            <color indexed="81"/>
            <rFont val="Tahoma"/>
            <family val="2"/>
            <charset val="238"/>
          </rPr>
          <t xml:space="preserve"> (čl. 4 odst. 14 GDPR)</t>
        </r>
        <r>
          <rPr>
            <b/>
            <i/>
            <sz val="9"/>
            <color indexed="81"/>
            <rFont val="Tahoma"/>
            <family val="2"/>
            <charset val="238"/>
          </rPr>
          <t xml:space="preserve">
„údaji o zdravotním stavu“ osobní údaje týkající se tělesného nebo duševního zdraví fyzické osoby, včetně údajů o poskytnutí zdravotních služeb, které vypovídají o jejím zdravotním stavu</t>
        </r>
        <r>
          <rPr>
            <i/>
            <sz val="9"/>
            <color indexed="81"/>
            <rFont val="Tahoma"/>
            <family val="2"/>
            <charset val="238"/>
          </rPr>
          <t xml:space="preserve"> (čl. 4 odst. 15 GDPR)</t>
        </r>
        <r>
          <rPr>
            <b/>
            <i/>
            <sz val="9"/>
            <color indexed="81"/>
            <rFont val="Tahoma"/>
            <family val="2"/>
            <charset val="238"/>
          </rPr>
          <t xml:space="preserve">
</t>
        </r>
      </text>
    </comment>
    <comment ref="C20" authorId="0" shapeId="0" xr:uid="{00000000-0006-0000-0600-000012000000}">
      <text>
        <r>
          <rPr>
            <sz val="9"/>
            <color indexed="81"/>
            <rFont val="Tahoma"/>
            <family val="2"/>
            <charset val="238"/>
          </rPr>
          <t>Uveďte přesný druh (viz. nápověda k buňce C19).</t>
        </r>
      </text>
    </comment>
    <comment ref="C21" authorId="0" shapeId="0" xr:uid="{00000000-0006-0000-0600-000013000000}">
      <text>
        <r>
          <rPr>
            <sz val="9"/>
            <color indexed="81"/>
            <rFont val="Tahoma"/>
            <family val="2"/>
            <charset val="238"/>
          </rPr>
          <t xml:space="preserve">Uveďte příslušná písmena z čl. 9 odst. 2 GDPR nebo na čl. 9 odst. 4 GDPR, na základě kterých je zvláštní kategorie OÚ zpracovávána (např. </t>
        </r>
        <r>
          <rPr>
            <b/>
            <sz val="9"/>
            <color indexed="81"/>
            <rFont val="Tahoma"/>
            <family val="2"/>
            <charset val="238"/>
          </rPr>
          <t xml:space="preserve">a,c,4 </t>
        </r>
        <r>
          <rPr>
            <sz val="9"/>
            <color indexed="81"/>
            <rFont val="Tahoma"/>
            <family val="2"/>
            <charset val="238"/>
          </rPr>
          <t xml:space="preserve">a vyplývá-li toto oprávnění z příslušného právního předpisu, pak pojmenování příslušných ustanovení tohoto předpisu (např. </t>
        </r>
        <r>
          <rPr>
            <b/>
            <sz val="9"/>
            <color indexed="81"/>
            <rFont val="Tahoma"/>
            <family val="2"/>
            <charset val="238"/>
          </rPr>
          <t>b - § 36 a násl. z.č. 257/2016</t>
        </r>
        <r>
          <rPr>
            <sz val="9"/>
            <color indexed="81"/>
            <rFont val="Tahoma"/>
            <family val="2"/>
            <charset val="238"/>
          </rPr>
          <t xml:space="preserve">).
</t>
        </r>
        <r>
          <rPr>
            <u/>
            <sz val="9"/>
            <color indexed="81"/>
            <rFont val="Tahoma"/>
            <family val="2"/>
            <charset val="238"/>
          </rPr>
          <t>Podmínky pro zpracování zvláštní kategorie OÚ:</t>
        </r>
        <r>
          <rPr>
            <sz val="9"/>
            <color indexed="81"/>
            <rFont val="Tahoma"/>
            <family val="2"/>
            <charset val="238"/>
          </rPr>
          <t xml:space="preserve">
</t>
        </r>
        <r>
          <rPr>
            <b/>
            <sz val="9"/>
            <color indexed="81"/>
            <rFont val="Tahoma"/>
            <family val="2"/>
            <charset val="238"/>
          </rPr>
          <t>9/2a)</t>
        </r>
        <r>
          <rPr>
            <sz val="9"/>
            <color indexed="81"/>
            <rFont val="Tahoma"/>
            <family val="2"/>
            <charset val="238"/>
          </rPr>
          <t xml:space="preserve"> subjekt údajů udělil výslovný souhlas se zpracováním těchto osobních údajů pro jeden nebo více stanovených účelů, s výjimkou případů, kdy právo Unie nebo členského státu stanoví, že zákaz uvedený v odstavci 1 nemůže být subjektem údajů zrušen
</t>
        </r>
        <r>
          <rPr>
            <b/>
            <sz val="9"/>
            <color indexed="81"/>
            <rFont val="Tahoma"/>
            <family val="2"/>
            <charset val="238"/>
          </rPr>
          <t>9/2b)</t>
        </r>
        <r>
          <rPr>
            <sz val="9"/>
            <color indexed="81"/>
            <rFont val="Tahoma"/>
            <family val="2"/>
            <charset val="238"/>
          </rPr>
          <t xml:space="preserve"> zpracování je nezbytné pro účely plnění povinností a výkon zvláštních práv správce nebo subjektu údajů v oblasti pracovního práva a práva v oblasti sociálního zabezpečení a sociální ochrany, pokud je povoleno právem Unie nebo členského státu nebo kolektivní dohodou podle práva členského státu, v němž se stanoví vhodné záruky týkající se základních práv a zájmů subjektu údajů
</t>
        </r>
        <r>
          <rPr>
            <b/>
            <sz val="9"/>
            <color indexed="81"/>
            <rFont val="Tahoma"/>
            <family val="2"/>
            <charset val="238"/>
          </rPr>
          <t>9/2c)</t>
        </r>
        <r>
          <rPr>
            <sz val="9"/>
            <color indexed="81"/>
            <rFont val="Tahoma"/>
            <family val="2"/>
            <charset val="238"/>
          </rPr>
          <t xml:space="preserve"> zpracování je nutné pro ochranu životně důležitých zájmů subjektu údajů nebo jiné fyzické osoby v případě, že subjekt údajů není fyzicky nebo právně způsobilý udělit souhlas
</t>
        </r>
        <r>
          <rPr>
            <b/>
            <sz val="9"/>
            <color indexed="81"/>
            <rFont val="Tahoma"/>
            <family val="2"/>
            <charset val="238"/>
          </rPr>
          <t>9/2d)</t>
        </r>
        <r>
          <rPr>
            <sz val="9"/>
            <color indexed="81"/>
            <rFont val="Tahoma"/>
            <family val="2"/>
            <charset val="238"/>
          </rPr>
          <t xml:space="preserve"> zpracování provádí v rámci svých oprávněných činností a s vhodnými zárukami nadace, sdružení nebo jiný neziskový subjekt, který sleduje politické, filozofické, náboženské nebo odborové cíle, a za podmínky, že se zpracování vztahuje pouze na současné nebo bývalé členy tohoto subjektu nebo na osoby, které s ním udržují pravidelné styky související s jeho cíli, a že tyto osobní údaje nejsou bez souhlasu subjektu údajů zpřístupňovány mimo tento subjekt
</t>
        </r>
        <r>
          <rPr>
            <b/>
            <sz val="9"/>
            <color indexed="81"/>
            <rFont val="Tahoma"/>
            <family val="2"/>
            <charset val="238"/>
          </rPr>
          <t>9/2e)</t>
        </r>
        <r>
          <rPr>
            <sz val="9"/>
            <color indexed="81"/>
            <rFont val="Tahoma"/>
            <family val="2"/>
            <charset val="238"/>
          </rPr>
          <t xml:space="preserve"> zpracování se týká osobních údajů zjevně zveřejněných subjektem údajů
</t>
        </r>
        <r>
          <rPr>
            <b/>
            <sz val="9"/>
            <color indexed="81"/>
            <rFont val="Tahoma"/>
            <family val="2"/>
            <charset val="238"/>
          </rPr>
          <t>9/2f)</t>
        </r>
        <r>
          <rPr>
            <sz val="9"/>
            <color indexed="81"/>
            <rFont val="Tahoma"/>
            <family val="2"/>
            <charset val="238"/>
          </rPr>
          <t xml:space="preserve"> zpracování je nezbytné pro určení, výkon nebo obhajobu právních nároků nebo pokud soudy jednají v rámci svých soudních pravomocí
</t>
        </r>
        <r>
          <rPr>
            <b/>
            <sz val="9"/>
            <color indexed="81"/>
            <rFont val="Tahoma"/>
            <family val="2"/>
            <charset val="238"/>
          </rPr>
          <t>9/2g)</t>
        </r>
        <r>
          <rPr>
            <sz val="9"/>
            <color indexed="81"/>
            <rFont val="Tahoma"/>
            <family val="2"/>
            <charset val="238"/>
          </rPr>
          <t xml:space="preserve"> zpracování je nezbytné z důvodu významného veřejného zájmu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9/2h)</t>
        </r>
        <r>
          <rPr>
            <sz val="9"/>
            <color indexed="81"/>
            <rFont val="Tahoma"/>
            <family val="2"/>
            <charset val="238"/>
          </rPr>
          <t xml:space="preserve"> zpracování je nezbytné pro účely preventivního nebo pracovního lékařství, pro posouzení pracovní schopnosti zaměstnance, lékařské diagnostiky, poskytování zdravotní nebo sociální péče či léčby nebo řízení systémů a služeb zdravotní nebo sociální péče na základě práva Unie nebo členského státu nebo podle smlouvy se zdravotnickým pracovníkem a při splnění podmínek a záruk uvedených v odstavci 4
</t>
        </r>
        <r>
          <rPr>
            <b/>
            <sz val="9"/>
            <color indexed="81"/>
            <rFont val="Tahoma"/>
            <family val="2"/>
            <charset val="238"/>
          </rPr>
          <t xml:space="preserve">9/2i) </t>
        </r>
        <r>
          <rPr>
            <sz val="9"/>
            <color indexed="81"/>
            <rFont val="Tahoma"/>
            <family val="2"/>
            <charset val="238"/>
          </rPr>
          <t xml:space="preserve">zpracování je nezbytné z důvodů veřejného zájmu v oblasti veřejného zdraví, jako je ochrana před vážnými přeshraničními zdravotními hrozbami nebo zajištění přísných norem kvality a bezpečnosti zdravotní péče a léčivých přípravků nebo zdravotnických prostředků, na základě práva Unie nebo členského státu, které stanoví odpovídající a zvláštní opatření pro zajištění práv a svobod subjektu údajů, zejména služebního tajemství
</t>
        </r>
        <r>
          <rPr>
            <b/>
            <sz val="9"/>
            <color indexed="81"/>
            <rFont val="Tahoma"/>
            <family val="2"/>
            <charset val="238"/>
          </rPr>
          <t>9/2j)</t>
        </r>
        <r>
          <rPr>
            <sz val="9"/>
            <color indexed="81"/>
            <rFont val="Tahoma"/>
            <family val="2"/>
            <charset val="238"/>
          </rPr>
          <t xml:space="preserve"> zpracování je nezbytné pro účely archivace ve veřejném zájmu, pro účely vědeckého či historického výzkumu nebo pro statistické účely v souladu s čl. 89 odst. 1 na základě práva Unie nebo členského státu, které je přiměřené sledovanému cíli, dodržuje podstatu práva na ochranu údajů a poskytuje vhodné a konkrétní záruky pro ochranu základních práv a zájmů subjektu údajů
</t>
        </r>
        <r>
          <rPr>
            <b/>
            <sz val="9"/>
            <color indexed="81"/>
            <rFont val="Tahoma"/>
            <family val="2"/>
            <charset val="238"/>
          </rPr>
          <t xml:space="preserve">9/4 </t>
        </r>
        <r>
          <rPr>
            <sz val="9"/>
            <color indexed="81"/>
            <rFont val="Tahoma"/>
            <family val="2"/>
            <charset val="238"/>
          </rPr>
          <t>Členské státy mohou zachovat nebo zavést další podmínky, včetně omezení, pokud jde o zpracování genetických údajů, biometrických údajů či údajů o zdravotním stavu.</t>
        </r>
      </text>
    </comment>
    <comment ref="C22" authorId="0" shapeId="0" xr:uid="{00000000-0006-0000-0600-000014000000}">
      <text>
        <r>
          <rPr>
            <sz val="9"/>
            <color indexed="81"/>
            <rFont val="Tahoma"/>
            <family val="2"/>
            <charset val="238"/>
          </rPr>
          <t xml:space="preserve">Uveďte, zda provádíte zpracování OÚ týkajících se rozsudků v trestních věcech a trestných činů podle čl. 10 GDPR.
</t>
        </r>
        <r>
          <rPr>
            <b/>
            <i/>
            <sz val="9"/>
            <color indexed="81"/>
            <rFont val="Tahoma"/>
            <family val="2"/>
            <charset val="238"/>
          </rPr>
          <t xml:space="preserve">Zpracování osobních údajů týkajících se rozsudků v trestních věcech a trestných činů či souvisejících bezpečnostních opatření na základě čl. 6 odst. 1 se může provádět pouze pod dozorem orgánu veřejné moci nebo pokud je oprávněné podle práva Unie nebo členského státu poskytujícího vhodné záruky, pokud jde o práva a svobody subjektů údajů. Jakýkoli souhrnný rejstřík trestů může být veden pouze pod dozorem orgánu veřejné moci. </t>
        </r>
        <r>
          <rPr>
            <sz val="9"/>
            <color indexed="81"/>
            <rFont val="Tahoma"/>
            <family val="2"/>
            <charset val="238"/>
          </rPr>
          <t>(čl. 10 GDPR)</t>
        </r>
      </text>
    </comment>
    <comment ref="C23" authorId="0" shapeId="0" xr:uid="{00000000-0006-0000-0600-000015000000}">
      <text>
        <r>
          <rPr>
            <sz val="9"/>
            <color indexed="81"/>
            <rFont val="Tahoma"/>
            <family val="2"/>
            <charset val="238"/>
          </rPr>
          <t xml:space="preserve">Uveďte přesný účel, pro který jsou osobní údaje v ř. 17, 20 a 22 zpracovávány. Pokud jsou některé druhy osobních údajů v rámci téhož zpracování zpracovávány za jiným účelem, podrobně tyto informace rozepište. 
</t>
        </r>
        <r>
          <rPr>
            <b/>
            <i/>
            <sz val="9"/>
            <color indexed="81"/>
            <rFont val="Tahoma"/>
            <family val="2"/>
            <charset val="238"/>
          </rPr>
          <t>Osobní údaje musí být:
b) shromažďovány pro určité, výslovně vyjádřené a legitimní účely a nesmějí být dále zpracovávány způsobem, který je s těmito účely neslučitelný; další zpracování pro účely archivace ve veřejném zájmu, pro účely vědeckého či historického výzkumu nebo pro statistické účely se podle čl. 89 odst. 1 nepovažuje za neslučitelné s původními účely („účelové omezení“)</t>
        </r>
        <r>
          <rPr>
            <sz val="9"/>
            <color indexed="81"/>
            <rFont val="Tahoma"/>
            <family val="2"/>
            <charset val="238"/>
          </rPr>
          <t xml:space="preserve"> (čl. 5 odst. 1 písm. b) GDPR).
</t>
        </r>
      </text>
    </comment>
    <comment ref="C24" authorId="0" shapeId="0" xr:uid="{00000000-0006-0000-0600-000016000000}">
      <text>
        <r>
          <rPr>
            <sz val="9"/>
            <color indexed="81"/>
            <rFont val="Tahoma"/>
            <family val="2"/>
            <charset val="238"/>
          </rPr>
          <t xml:space="preserve">Uveďte jednotlivé kategorie subjektu údajů, které budou předmětem zpracování osobních údajů (např. vlastní zaměstnanci, návštěvníci, pojištěnci, zaměstnanci dodavatelů služeb, dlužníci, ….).
</t>
        </r>
      </text>
    </comment>
    <comment ref="C25" authorId="0" shapeId="0" xr:uid="{00000000-0006-0000-0600-000017000000}">
      <text>
        <r>
          <rPr>
            <sz val="9"/>
            <color indexed="81"/>
            <rFont val="Tahoma"/>
            <family val="2"/>
            <charset val="238"/>
          </rPr>
          <t>Zvolte jednu z možných kategorií předávání osobních údajů do zahraničí.</t>
        </r>
      </text>
    </comment>
    <comment ref="C26" authorId="0" shapeId="0" xr:uid="{00000000-0006-0000-0600-000018000000}">
      <text>
        <r>
          <rPr>
            <sz val="9"/>
            <color indexed="81"/>
            <rFont val="Tahoma"/>
            <family val="2"/>
            <charset val="238"/>
          </rPr>
          <t>Uveďte dobu, po kterou budou osobní údaje uchovány a není-li ji možné určit, kritéria použitá ke stanovení této doby. Doba může být vyjádřena rovněž uplynutím určité události (např. 2 roky od zakoupení zboží). Nelze akceptovat dobu vyjádřenou slovy "nekonečně", "dle rozhodnutí správce", "na neurčito", "podle potřeby" apod. Pokud dobu uložení stanoví obecně závazný právní předpis, lze uvést odkaz na příslušný právní předpis, např. "podle z.č. 12x/20yy Sb." Zvolit lze odkaz na příslušný vnitřní předpis, např. "podle spisového a skartačního řádu č. xx/yyyy" (pak je třeba zrevidovat příslušné ustanovení spisového a skartačního řádu).</t>
        </r>
      </text>
    </comment>
    <comment ref="C27" authorId="0" shapeId="0" xr:uid="{00000000-0006-0000-0600-000019000000}">
      <text>
        <r>
          <rPr>
            <sz val="9"/>
            <color indexed="81"/>
            <rFont val="Tahoma"/>
            <family val="2"/>
            <charset val="238"/>
          </rPr>
          <t xml:space="preserve">Uveďte právní důvod doby uložení OÚ odkazem na příslušné ustanovení obecně závazného právního předpisu podobně jako u doby uložení a není-li dán, pak vlastní odůvodnění doby uložení OÚ (např. "na základě pravidel dotací z Evropských strukturálních a investičních fondů".
</t>
        </r>
      </text>
    </comment>
    <comment ref="C28" authorId="0" shapeId="0" xr:uid="{00000000-0006-0000-0600-00001A000000}">
      <text>
        <r>
          <rPr>
            <sz val="9"/>
            <color indexed="81"/>
            <rFont val="Tahoma"/>
            <family val="2"/>
            <charset val="238"/>
          </rPr>
          <t xml:space="preserve">Vyplňte pouze v případě, že osobní údaje jsou ukládány v listinné podobě nebo na externích nosičích (DVD, flash disk, …), např. budova B, 1PP, archiv nebo kancelář č. 236 apod. Umístění počítačů, serverů a dalšího HW vybavení neuvádějte. </t>
        </r>
      </text>
    </comment>
    <comment ref="C29" authorId="0" shapeId="0" xr:uid="{00000000-0006-0000-0600-00001B000000}">
      <text>
        <r>
          <rPr>
            <sz val="9"/>
            <color indexed="81"/>
            <rFont val="Tahoma"/>
            <family val="2"/>
            <charset val="238"/>
          </rPr>
          <t xml:space="preserve">Vyberte jednu z možností, zda provádíte profilování. </t>
        </r>
        <r>
          <rPr>
            <b/>
            <i/>
            <sz val="9"/>
            <color indexed="81"/>
            <rFont val="Tahoma"/>
            <family val="2"/>
            <charset val="238"/>
          </rPr>
          <t xml:space="preserve">
„Profilováním“ se rozumí jakákoli forma automatizovaného zpracování osobních údajů spočívající v jejich použití k hodnocení některých osobních aspektů vztahujících se k fyzické osobě, zejména k rozboru nebo odhadu aspektů týkajících se jejího pracovního výkonu, ekonomické situace, zdravotního stavu, osobních preferencí, zájmů, spolehlivosti, chování, místa, kde se nachází, nebo pohybu.</t>
        </r>
        <r>
          <rPr>
            <sz val="9"/>
            <color indexed="81"/>
            <rFont val="Tahoma"/>
            <family val="2"/>
            <charset val="238"/>
          </rPr>
          <t xml:space="preserve"> (čl. 4 odst. 4 GDPR)</t>
        </r>
      </text>
    </comment>
    <comment ref="C30" authorId="0" shapeId="0" xr:uid="{00000000-0006-0000-0600-00001C000000}">
      <text>
        <r>
          <rPr>
            <sz val="9"/>
            <color indexed="81"/>
            <rFont val="Tahoma"/>
            <family val="2"/>
            <charset val="238"/>
          </rPr>
          <t xml:space="preserve">Uveďte, zda je dán důvod pro posouzení vlivu na OOÚ.
</t>
        </r>
        <r>
          <rPr>
            <b/>
            <i/>
            <sz val="9"/>
            <color indexed="81"/>
            <rFont val="Tahoma"/>
            <family val="2"/>
            <charset val="238"/>
          </rPr>
          <t xml:space="preserve">Pokud je pravděpodobné, že určitý druh zpracování, zejména při využití nových technologií, bude s přihlédnutím k povaze, rozsahu, kontextu a účelům zpracování bude mít za následek vysoké riziko pro práva a svobody fyzických osob, provede správce před zpracováním posouzení vlivu zamýšlených operací zpracování na ochranu osobních údajů. Pro soubor podobných operací zpracování, které představují podobné riziko, může stačit jedno posouzení. </t>
        </r>
        <r>
          <rPr>
            <sz val="9"/>
            <color indexed="81"/>
            <rFont val="Tahoma"/>
            <family val="2"/>
            <charset val="238"/>
          </rPr>
          <t xml:space="preserve">(čl. 35 odst. 1 GDPR)
</t>
        </r>
      </text>
    </comment>
    <comment ref="C31" authorId="0" shapeId="0" xr:uid="{00000000-0006-0000-0600-00001D000000}">
      <text>
        <r>
          <rPr>
            <sz val="9"/>
            <color indexed="81"/>
            <rFont val="Tahoma"/>
            <family val="2"/>
            <charset val="238"/>
          </rPr>
          <t xml:space="preserve">Uveďte, zda bylo provedeno posouzení vlivu na OOÚ.
</t>
        </r>
      </text>
    </comment>
    <comment ref="C32" authorId="0" shapeId="0" xr:uid="{00000000-0006-0000-0600-00001E000000}">
      <text>
        <r>
          <rPr>
            <sz val="9"/>
            <color indexed="81"/>
            <rFont val="Tahoma"/>
            <family val="2"/>
            <charset val="238"/>
          </rPr>
          <t xml:space="preserve">Uvede se existence společného správce ve smyslu čl. 26 odst. 1 GDPR.
</t>
        </r>
        <r>
          <rPr>
            <b/>
            <i/>
            <sz val="9"/>
            <color indexed="81"/>
            <rFont val="Tahoma"/>
            <family val="2"/>
            <charset val="238"/>
          </rPr>
          <t>Pokud účely a prostředky zpracování stanoví společně dva nebo více správců, jsou společnými správci. Společní správci mezi sebou transparentním ujednáním vymezí své podíly na odpovědnosti za plnění povinností podle tohoto nařízení, zejména pokud jde o výkon práv subjektu údajů, a své povinnosti poskytovat informace uvedené v článcích 13 a 14, pokud tuto odpovědnost správců nestanoví právo Unie nebo členského státu, které se na správce vztahuje. V ujednání může být určeno kontaktní místo pro subjekty údajů.</t>
        </r>
        <r>
          <rPr>
            <i/>
            <sz val="9"/>
            <color indexed="81"/>
            <rFont val="Tahoma"/>
            <family val="2"/>
            <charset val="238"/>
          </rPr>
          <t xml:space="preserve"> (čl. odst. 1 GDPR)</t>
        </r>
      </text>
    </comment>
    <comment ref="C34" authorId="0" shapeId="0" xr:uid="{00000000-0006-0000-0600-00001F000000}">
      <text>
        <r>
          <rPr>
            <sz val="9"/>
            <color indexed="81"/>
            <rFont val="Tahoma"/>
            <family val="2"/>
            <charset val="238"/>
          </rPr>
          <t xml:space="preserve">Zpracovatel ve smyslu čl. 28 GDPR, tedy jakýkoliv jiný subjekt, než subjekt uvedený v listu "Úvod". Zpracovatelem není zaměstnanec správce.
</t>
        </r>
        <r>
          <rPr>
            <b/>
            <i/>
            <sz val="9"/>
            <color indexed="81"/>
            <rFont val="Tahoma"/>
            <family val="2"/>
            <charset val="238"/>
          </rPr>
          <t>„zpracovatelem“ fyzická nebo právnická osoba, orgán veřejné moci, agentura nebo jiný subjekt, který zpracovává osobní údaje pro správce</t>
        </r>
        <r>
          <rPr>
            <sz val="9"/>
            <color indexed="81"/>
            <rFont val="Tahoma"/>
            <family val="2"/>
            <charset val="238"/>
          </rPr>
          <t xml:space="preserve"> (čl. 4 odst. 8 GDPR)</t>
        </r>
      </text>
    </comment>
    <comment ref="C35" authorId="0" shapeId="0" xr:uid="{00000000-0006-0000-0600-000020000000}">
      <text>
        <r>
          <rPr>
            <sz val="9"/>
            <color indexed="81"/>
            <rFont val="Tahoma"/>
            <family val="2"/>
            <charset val="238"/>
          </rPr>
          <t>Uveďte počet zpracovatelů, kteří se podílení na zpracování, které je předmětem tohoto check listu.</t>
        </r>
      </text>
    </comment>
    <comment ref="C38" authorId="0" shapeId="0" xr:uid="{00000000-0006-0000-0600-000021000000}">
      <text>
        <r>
          <rPr>
            <sz val="9"/>
            <color indexed="81"/>
            <rFont val="Tahoma"/>
            <family val="2"/>
            <charset val="238"/>
          </rPr>
          <t>Pro vyplnění buněk C38 - C40 použijte údaje z obchodního nebo jiného rejstříku.</t>
        </r>
      </text>
    </comment>
    <comment ref="C41" authorId="0" shapeId="0" xr:uid="{00000000-0006-0000-0600-000022000000}">
      <text>
        <r>
          <rPr>
            <sz val="9"/>
            <color indexed="81"/>
            <rFont val="Tahoma"/>
            <family val="2"/>
            <charset val="238"/>
          </rPr>
          <t>Uveďte osobu odpovědnou za zpracování osobních údajů (např. dle smlouvy o zpracování osobních údajů).</t>
        </r>
      </text>
    </comment>
    <comment ref="C44" authorId="0" shapeId="0" xr:uid="{00000000-0006-0000-0600-000023000000}">
      <text>
        <r>
          <rPr>
            <sz val="9"/>
            <color indexed="81"/>
            <rFont val="Tahoma"/>
            <family val="2"/>
            <charset val="238"/>
          </rPr>
          <t>Použijte jednu z nabízených možností.</t>
        </r>
      </text>
    </comment>
    <comment ref="C45" authorId="0" shapeId="0" xr:uid="{00000000-0006-0000-0600-000024000000}">
      <text>
        <r>
          <rPr>
            <sz val="9"/>
            <color indexed="81"/>
            <rFont val="Tahoma"/>
            <family val="2"/>
            <charset val="238"/>
          </rPr>
          <t>Uveďte ustanovení příslušného právního předpisu.</t>
        </r>
      </text>
    </comment>
  </commentList>
</comments>
</file>

<file path=xl/sharedStrings.xml><?xml version="1.0" encoding="utf-8"?>
<sst xmlns="http://schemas.openxmlformats.org/spreadsheetml/2006/main" count="544" uniqueCount="267">
  <si>
    <t>Identifikace zpracování osobních údajů</t>
  </si>
  <si>
    <t>správce:</t>
  </si>
  <si>
    <t>zpracovatele:</t>
  </si>
  <si>
    <t>se sídlem:</t>
  </si>
  <si>
    <t>IČ:</t>
  </si>
  <si>
    <t>Název zpracování:</t>
  </si>
  <si>
    <t>jednající:</t>
  </si>
  <si>
    <t>jméno a příjmení</t>
  </si>
  <si>
    <t>adresa</t>
  </si>
  <si>
    <t>odpovědná osoba pro oblast ochrany osobních údajů:</t>
  </si>
  <si>
    <t>titul, jméno a příjmení</t>
  </si>
  <si>
    <t>telefon</t>
  </si>
  <si>
    <t>jmenovaný pověřenec pro ochranu osobních údajů:</t>
  </si>
  <si>
    <t>e-mail</t>
  </si>
  <si>
    <t>Organizační jednotka:</t>
  </si>
  <si>
    <t>Číslo organizační jednotky:</t>
  </si>
  <si>
    <t>Zpracovatel:</t>
  </si>
  <si>
    <t>ANO</t>
  </si>
  <si>
    <t>NE</t>
  </si>
  <si>
    <t>NEVÍM</t>
  </si>
  <si>
    <t>Číslo zpracování:</t>
  </si>
  <si>
    <t>NENÍ PÍSEMNĚ UZAVŘENA</t>
  </si>
  <si>
    <t>UZAVŘENA podle čl. 28 odst. 3 GDPR</t>
  </si>
  <si>
    <t>UZAVŘENA podle § 6 ZOOÚ</t>
  </si>
  <si>
    <t>ZMOCNĚNÍ VYPLÝVÁ Z PRÁVNÍHO PŘEDPISU</t>
  </si>
  <si>
    <t xml:space="preserve"> </t>
  </si>
  <si>
    <t>UZAVŘENA podle § 6 ZOOÚ a revidována podle čl. 28 odst. 3 GDPR</t>
  </si>
  <si>
    <t>.</t>
  </si>
  <si>
    <t>Počet subjektů údajů:</t>
  </si>
  <si>
    <t>Druh OÚ:</t>
  </si>
  <si>
    <t>Zvláštní kategorie OÚ:</t>
  </si>
  <si>
    <t>OÚ o trestních věcech:</t>
  </si>
  <si>
    <t>Další místa zpracování:</t>
  </si>
  <si>
    <t>Odpovědná osoba:</t>
  </si>
  <si>
    <t xml:space="preserve">       - e-mail:</t>
  </si>
  <si>
    <t xml:space="preserve">       - telefon:</t>
  </si>
  <si>
    <t>Způsob zpracování:</t>
  </si>
  <si>
    <t>automatizované</t>
  </si>
  <si>
    <t>neautomatizované (v listinné podobě)</t>
  </si>
  <si>
    <t>automatizované + neautomatizované (v listinné podobě)</t>
  </si>
  <si>
    <t>Zdroj OÚ:</t>
  </si>
  <si>
    <t>od subjektu údajů</t>
  </si>
  <si>
    <t>veřejně dostupné zdroje</t>
  </si>
  <si>
    <t>jiné zdroje</t>
  </si>
  <si>
    <t>Oprávnění zaměstnanci:</t>
  </si>
  <si>
    <t>Příjemci OÚ:</t>
  </si>
  <si>
    <t>Společný správce:</t>
  </si>
  <si>
    <t xml:space="preserve">      - zákonnost zpracování:</t>
  </si>
  <si>
    <t>Účel zpracování:</t>
  </si>
  <si>
    <t>Kategorie subjektů údajů:</t>
  </si>
  <si>
    <t>ANO - EU</t>
  </si>
  <si>
    <t>Místa uložení osobních údajů:</t>
  </si>
  <si>
    <t>Profilování:</t>
  </si>
  <si>
    <t>Předávání do zahraničí:</t>
  </si>
  <si>
    <t>ANO - EU i třetí země nebo mezinárodní organizace</t>
  </si>
  <si>
    <t>ANO - třetí země nebo mezinárodní organizace</t>
  </si>
  <si>
    <t>Přeshraniční zpracování:</t>
  </si>
  <si>
    <t>ANO - podle písm. a)</t>
  </si>
  <si>
    <t>ANO - podle písm. b)</t>
  </si>
  <si>
    <t>ANO - podle písm. a) a b)</t>
  </si>
  <si>
    <t>Doba uložení OÚ:</t>
  </si>
  <si>
    <t xml:space="preserve">      - důvod:</t>
  </si>
  <si>
    <t>Posouzení vlivu:</t>
  </si>
  <si>
    <t xml:space="preserve">      - provedení:</t>
  </si>
  <si>
    <t xml:space="preserve">      - jejich druh:</t>
  </si>
  <si>
    <t>Počet zpracovatelů:</t>
  </si>
  <si>
    <t>ZPRACOVATEL 1</t>
  </si>
  <si>
    <t>Firma (název) zpracovatele:</t>
  </si>
  <si>
    <t>odpovědná osoba:</t>
  </si>
  <si>
    <t>e-mail:</t>
  </si>
  <si>
    <t>telefon:</t>
  </si>
  <si>
    <t>Smlouva o zpracování OÚ:</t>
  </si>
  <si>
    <t>ZPRACOVATEL 2</t>
  </si>
  <si>
    <t>ZPRACOVATEL 3</t>
  </si>
  <si>
    <t>ZPRACOVATEL 4</t>
  </si>
  <si>
    <t>ZPRACOVATEL 5</t>
  </si>
  <si>
    <t>buňka</t>
  </si>
  <si>
    <t>název</t>
  </si>
  <si>
    <t>C2</t>
  </si>
  <si>
    <t>C3</t>
  </si>
  <si>
    <t>C4</t>
  </si>
  <si>
    <t>C5</t>
  </si>
  <si>
    <t>C6</t>
  </si>
  <si>
    <t>C7</t>
  </si>
  <si>
    <t>C8</t>
  </si>
  <si>
    <t>C9</t>
  </si>
  <si>
    <t>C10</t>
  </si>
  <si>
    <t>C12</t>
  </si>
  <si>
    <t>C13</t>
  </si>
  <si>
    <t>C14</t>
  </si>
  <si>
    <t>C15</t>
  </si>
  <si>
    <t>C16</t>
  </si>
  <si>
    <t>C17</t>
  </si>
  <si>
    <t>C18</t>
  </si>
  <si>
    <t>C19</t>
  </si>
  <si>
    <t>C20</t>
  </si>
  <si>
    <t>C21</t>
  </si>
  <si>
    <t>C22</t>
  </si>
  <si>
    <t>C23</t>
  </si>
  <si>
    <t>C24</t>
  </si>
  <si>
    <t>C25</t>
  </si>
  <si>
    <t>C26</t>
  </si>
  <si>
    <t>C27</t>
  </si>
  <si>
    <t>C28</t>
  </si>
  <si>
    <t>C29</t>
  </si>
  <si>
    <t>C30</t>
  </si>
  <si>
    <t>C31</t>
  </si>
  <si>
    <t>C32</t>
  </si>
  <si>
    <t>Uveďte pracovní e-mail odpovědné osoby.</t>
  </si>
  <si>
    <t>Uveďte pracovní telefonní číslo odpovědné osoby.</t>
  </si>
  <si>
    <t>pokyny k vyplnění polí</t>
  </si>
  <si>
    <t>Uveďte všechna místa zpracování, pokud jsou odlišná od sídla uvedeného na listu "Úvod". Uveďte přesné adresy a stát, pokud není místo v České republice.</t>
  </si>
  <si>
    <t>Vyberte jeden z nabízených způsobů zpracování. 
V systémech automatizovaného zpracování by omezení zpracování mělo být v zásadě zajištěno technickými prostředky tak, aby se na osobní údaje již nevztahovaly žádné další operace zpracování a aby nemohly být změněny.
Neautomatizovaným zpracováním se rozumí manuální zpracování zejména v listinné podobě.</t>
  </si>
  <si>
    <r>
      <t xml:space="preserve">Uveďte, zda provádíte přeshraniční zpracování OÚ dle níže uvedené definice přeshraničního zpracování.
</t>
    </r>
    <r>
      <rPr>
        <b/>
        <i/>
        <sz val="9"/>
        <rFont val="Calibri"/>
        <family val="2"/>
        <charset val="238"/>
        <scheme val="minor"/>
      </rPr>
      <t>„přeshraničním zpracováním“ buď: 
a) zpracování osobních údajů, které probíhá v souvislosti s činnostmi provozoven ve více než jednom členském státě správce či zpracovatele v Unii, je-li tento správce či zpracovatel usazen ve více než jednom členském státě; nebo 
b) zpracování osobních údajů, které probíhá v souvislosti s činnostmi jediné provozovny správce či zpracovatele v Unii, ale kterým jsou nebo pravděpodobně budou podstatně dotčeny subjekty údajů ve více než jednom členském státě</t>
    </r>
    <r>
      <rPr>
        <sz val="9"/>
        <rFont val="Calibri"/>
        <family val="2"/>
        <charset val="238"/>
        <scheme val="minor"/>
      </rPr>
      <t xml:space="preserve"> (čl. 4 odst. 23 GDPR)</t>
    </r>
  </si>
  <si>
    <r>
      <t xml:space="preserve">Uveďte příslušná písmena z čl. 6 odst. 1 GDPR, na základě kterých jsou OÚ zpracovávány (např. a,c) a vyplývá-li toto oprávnění z příslušného právního předpisu, pak pojmenování příslušných ustanovení tohoto předpisu (např. c - § 36 a násl. z.č. 257/2016).
Podmínky pro zpracování OÚ:
</t>
    </r>
    <r>
      <rPr>
        <b/>
        <i/>
        <sz val="9"/>
        <rFont val="Calibri"/>
        <family val="2"/>
        <charset val="238"/>
        <scheme val="minor"/>
      </rPr>
      <t>Zpracování je zákonné, pouze pokud je splněna nejméně jedna z těchto podmínek a pouze v odpovídajícím rozsahu: 
6/1a) subjekt údajů udělil souhlas se zpracováním svých osobních údajů pro jeden či více konkrétních účelů
6/1b) zpracování je nezbytné pro splnění smlouvy, jejíž smluvní stranou je subjekt údajů, nebo pro provedení opatření přijatých před uzavřením smlouvy na žádost tohoto subjektu údajů
6/1c) zpracování je nezbytné pro splnění právní povinnosti, která se na správce vztahuje
6/1d) zpracování je nezbytné pro ochranu životně důležitých zájmů subjektu údajů nebo jiné fyzické osoby
6/1e) zpracování je nezbytné pro splnění úkolu prováděného ve veřejném zájmu nebo při výkonu veřejné moci, kterým je pověřen správce
6/1f) zpracování je nezbytné pro účely oprávněných zájmů příslušného správce či třetí strany, kromě případů, kdy před těmito zájmy mají přednost zájmy nebo základní práva a svobody subjektu údajů vyžadující ochranu osobních údajů, zejména pokud je subjektem údajů dítě.</t>
    </r>
  </si>
  <si>
    <r>
      <t xml:space="preserve">Uveďte, zda provádíte zpracování zvláštní kategorie OÚ uvedených v čl. 9 odst. 1  GDPR, tedy OÚ 
</t>
    </r>
    <r>
      <rPr>
        <u/>
        <sz val="9"/>
        <rFont val="Calibri"/>
        <family val="2"/>
        <charset val="238"/>
        <scheme val="minor"/>
      </rPr>
      <t>vypovídajících o:</t>
    </r>
    <r>
      <rPr>
        <sz val="9"/>
        <rFont val="Calibri"/>
        <family val="2"/>
        <charset val="238"/>
        <scheme val="minor"/>
      </rPr>
      <t xml:space="preserve">
rasovém či etnickém původu, 
politických názorech, 
náboženském vyznání či filozofickém přesvědčení 
členství v odborech,
</t>
    </r>
    <r>
      <rPr>
        <u/>
        <sz val="9"/>
        <rFont val="Calibri"/>
        <family val="2"/>
        <charset val="238"/>
        <scheme val="minor"/>
      </rPr>
      <t>zpracování:</t>
    </r>
    <r>
      <rPr>
        <sz val="9"/>
        <rFont val="Calibri"/>
        <family val="2"/>
        <charset val="238"/>
        <scheme val="minor"/>
      </rPr>
      <t xml:space="preserve">
genetických údajů nebo biometrických údajů za účelem jedinečné identifikace fyzické osoby, 
údajů o zdravotním stavu, 
údajů o sexuálním životě nebo sexuální orientaci fyzické osoby,
</t>
    </r>
    <r>
      <rPr>
        <b/>
        <i/>
        <sz val="9"/>
        <rFont val="Calibri"/>
        <family val="2"/>
        <charset val="238"/>
        <scheme val="minor"/>
      </rPr>
      <t xml:space="preserve">„genetickými údaji“ osobní údaje týkající se zděděných nebo získaných genetických znaků fyzické osoby, které poskytují jedinečné informace o její fyziologii či zdraví a které vyplývají zejména z analýzy biologického vzorku dotčené fyzické osoby </t>
    </r>
    <r>
      <rPr>
        <sz val="9"/>
        <rFont val="Calibri"/>
        <family val="2"/>
        <charset val="238"/>
        <scheme val="minor"/>
      </rPr>
      <t xml:space="preserve">(čl. 4 odst. 13 GDPR)
</t>
    </r>
    <r>
      <rPr>
        <b/>
        <i/>
        <sz val="9"/>
        <rFont val="Calibri"/>
        <family val="2"/>
        <charset val="238"/>
        <scheme val="minor"/>
      </rPr>
      <t>„biometrickými údaji“ osobní údaje vyplývající z konkrétního technického zpracování týkající se fyzických či fyziologických znaků nebo znaků chování fyzické osoby, které umožňuje nebo potvrzuje jedinečnou identifikaci, například zobrazení obličeje nebo daktyloskopické údaje</t>
    </r>
    <r>
      <rPr>
        <sz val="9"/>
        <rFont val="Calibri"/>
        <family val="2"/>
        <charset val="238"/>
        <scheme val="minor"/>
      </rPr>
      <t xml:space="preserve"> (čl. 4 odst. 14 GDPR)
</t>
    </r>
    <r>
      <rPr>
        <b/>
        <i/>
        <sz val="9"/>
        <rFont val="Calibri"/>
        <family val="2"/>
        <charset val="238"/>
        <scheme val="minor"/>
      </rPr>
      <t>„údaji o zdravotním stavu“ osobní údaje týkající se tělesného nebo duševního zdraví fyzické osoby, včetně údajů o poskytnutí zdravotních služeb, které vypovídají o jejím zdravotním stavu</t>
    </r>
    <r>
      <rPr>
        <sz val="9"/>
        <rFont val="Calibri"/>
        <family val="2"/>
        <charset val="238"/>
        <scheme val="minor"/>
      </rPr>
      <t xml:space="preserve"> (čl. 4 odst. 15 GDPR)</t>
    </r>
  </si>
  <si>
    <t>Uveďte přesný druh (viz. nápověda k buňce C19).</t>
  </si>
  <si>
    <r>
      <t xml:space="preserve">Uveďte přesný účel, pro který jsou osobní údaje v ř. 17, 20 a 22 zpracovávány. Pokud jsou některé druhy osobních údajů v rámci téhož zpracování zpracovávány za jiným účelem, podrobně tyto informace rozepište. 
</t>
    </r>
    <r>
      <rPr>
        <b/>
        <i/>
        <sz val="9"/>
        <rFont val="Calibri"/>
        <family val="2"/>
        <charset val="238"/>
        <scheme val="minor"/>
      </rPr>
      <t>Osobní údaje musí být:
b) shromažďovány pro určité, výslovně vyjádřené a legitimní účely a nesmějí být dále zpracovávány způsobem, který je s těmito účely neslučitelný; další zpracování pro účely archivace ve veřejném zájmu, pro účely vědeckého či historického výzkumu nebo pro statistické účely se podle čl. 89 odst. 1 nepovažuje za neslučitelné s původními účely („účelové omezení“)</t>
    </r>
    <r>
      <rPr>
        <sz val="9"/>
        <rFont val="Calibri"/>
        <family val="2"/>
        <charset val="238"/>
        <scheme val="minor"/>
      </rPr>
      <t xml:space="preserve"> (čl. 5 odst. 1 písm. b) GDPR).</t>
    </r>
  </si>
  <si>
    <t>Uveďte jednotlivé kategorie subjektu údajů, které budou předmětem zpracování osobních údajů (např. vlastní zaměstnanci, návštěvníci, pojištěnci, zaměstnanci dodavatelů služeb, dlužníci, ….).</t>
  </si>
  <si>
    <t>Zvolte jednu z možných kategorií předávání osobních údajů do zahraničí.</t>
  </si>
  <si>
    <r>
      <t xml:space="preserve">Uveďte příslušná písmena z čl. 6 odst. 1 GDPR, na základě kterých jsou OÚ zpracovávány (např. </t>
    </r>
    <r>
      <rPr>
        <b/>
        <sz val="9"/>
        <rFont val="Calibri"/>
        <family val="2"/>
        <charset val="238"/>
        <scheme val="minor"/>
      </rPr>
      <t xml:space="preserve">a,c </t>
    </r>
    <r>
      <rPr>
        <sz val="9"/>
        <rFont val="Calibri"/>
        <family val="2"/>
        <charset val="238"/>
        <scheme val="minor"/>
      </rPr>
      <t xml:space="preserve">) a vyplývá-li toto oprávnění z příslušného právního předpisu, pak pojmenování příslušných ustanovení tohoto předpisu (např. </t>
    </r>
    <r>
      <rPr>
        <b/>
        <sz val="9"/>
        <rFont val="Calibri"/>
        <family val="2"/>
        <charset val="238"/>
        <scheme val="minor"/>
      </rPr>
      <t>c - § 36 a násl. z.č. 257/2016</t>
    </r>
    <r>
      <rPr>
        <sz val="9"/>
        <rFont val="Calibri"/>
        <family val="2"/>
        <charset val="238"/>
        <scheme val="minor"/>
      </rPr>
      <t xml:space="preserve">).
Podmínky pro zpracování OÚ:
</t>
    </r>
    <r>
      <rPr>
        <b/>
        <i/>
        <sz val="9"/>
        <rFont val="Calibri"/>
        <family val="2"/>
        <charset val="238"/>
        <scheme val="minor"/>
      </rPr>
      <t>Zpracování je zákonné, pouze pokud je splněna nejméně jedna z těchto podmínek a pouze v odpovídajícím rozsahu:
6/1a) subjekt údajů udělil souhlas se zpracováním svých osobních údajů pro jeden či více konkrétních účelů
6/1b) zpracování je nezbytné pro splnění smlouvy, jejíž smluvní stranou je subjekt údajů, nebo pro provedení opatření přijatých před uzavřením smlouvy na žádost tohoto subjektu údajů
6/1c) zpracování je nezbytné pro splnění právní povinnosti, která se na správce vztahuje
6/1d) zpracování je nezbytné pro ochranu životně důležitých zájmů subjektu údajů nebo jiné fyzické osoby
6/1e) zpracování je nezbytné pro splnění úkolu prováděného ve veřejném zájmu nebo při výkonu veřejné moci, kterým je pověřen správce
6/1f) zpracování je nezbytné pro účely oprávněných zájmů příslušného správce či třetí strany, kromě případů, kdy před těmito zájmy mají přednost zájmy nebo základní práva a svobody subjektu údajů vyžadující ochranu osobních údajů, zejména pokud je subjektem údajů dítě.</t>
    </r>
  </si>
  <si>
    <r>
      <t xml:space="preserve">Uveďte, zda je dán důvod pro posouzení vlivu na OOÚ.
</t>
    </r>
    <r>
      <rPr>
        <b/>
        <i/>
        <sz val="9"/>
        <rFont val="Calibri"/>
        <family val="2"/>
        <charset val="238"/>
        <scheme val="minor"/>
      </rPr>
      <t xml:space="preserve">Pokud je pravděpodobné, že určitý druh zpracování, zejména při využití nových technologií, bude s přihlédnutím k povaze, rozsahu, kontextu a účelům zpracování bude mít za následek vysoké riziko pro práva a svobody fyzických osob, provede správce před zpracováním posouzení vlivu zamýšlených operací zpracování na ochranu osobních údajů. Pro soubor podobných operací zpracování, které představují podobné riziko, může stačit jedno posouzení. </t>
    </r>
    <r>
      <rPr>
        <sz val="9"/>
        <rFont val="Calibri"/>
        <family val="2"/>
        <charset val="238"/>
        <scheme val="minor"/>
      </rPr>
      <t>(čl. 35 odst. 1 GDPR)</t>
    </r>
  </si>
  <si>
    <t>Uveďte, zda bylo provedeno posouzení vlivu na OOÚ.</t>
  </si>
  <si>
    <t>C34</t>
  </si>
  <si>
    <t>C35</t>
  </si>
  <si>
    <t>C38</t>
  </si>
  <si>
    <t>C39</t>
  </si>
  <si>
    <t>C40</t>
  </si>
  <si>
    <t>C41</t>
  </si>
  <si>
    <t>C42</t>
  </si>
  <si>
    <t>C43</t>
  </si>
  <si>
    <t>C44</t>
  </si>
  <si>
    <t>Použijte údaje z obchodního nebo jiného rejstříku.</t>
  </si>
  <si>
    <t>Použijte jednu z nabízených možností.</t>
  </si>
  <si>
    <t>Uveďte e-mail odpovědné osoby.</t>
  </si>
  <si>
    <t>Uveďte telefonní číslo odpovědné osoby.</t>
  </si>
  <si>
    <t>Právní předpis:</t>
  </si>
  <si>
    <t>Uveďte ustanovení příslušného právního předpisu.</t>
  </si>
  <si>
    <t>C47</t>
  </si>
  <si>
    <t>C48</t>
  </si>
  <si>
    <t>C49</t>
  </si>
  <si>
    <t>C50</t>
  </si>
  <si>
    <t>C51</t>
  </si>
  <si>
    <t>C52</t>
  </si>
  <si>
    <t>C53</t>
  </si>
  <si>
    <t>C54</t>
  </si>
  <si>
    <t>C57</t>
  </si>
  <si>
    <t>C58</t>
  </si>
  <si>
    <t>C59</t>
  </si>
  <si>
    <t>C60</t>
  </si>
  <si>
    <t>C61</t>
  </si>
  <si>
    <t>C62</t>
  </si>
  <si>
    <t>C63</t>
  </si>
  <si>
    <t>C37</t>
  </si>
  <si>
    <t>C64</t>
  </si>
  <si>
    <t>C67</t>
  </si>
  <si>
    <t>C68</t>
  </si>
  <si>
    <t>C69</t>
  </si>
  <si>
    <t>C70</t>
  </si>
  <si>
    <t>C71</t>
  </si>
  <si>
    <t>C72</t>
  </si>
  <si>
    <t>C73</t>
  </si>
  <si>
    <t>C74</t>
  </si>
  <si>
    <t>C77</t>
  </si>
  <si>
    <t>C78</t>
  </si>
  <si>
    <t>C79</t>
  </si>
  <si>
    <t>C80</t>
  </si>
  <si>
    <t>C81</t>
  </si>
  <si>
    <t>C82</t>
  </si>
  <si>
    <t>C83</t>
  </si>
  <si>
    <t>C84</t>
  </si>
  <si>
    <t>POKYNY K VYPLNĚNÍ FORMULÁŘE</t>
  </si>
  <si>
    <r>
      <rPr>
        <b/>
        <u/>
        <sz val="11"/>
        <rFont val="Calibri"/>
        <family val="2"/>
        <charset val="238"/>
        <scheme val="minor"/>
      </rPr>
      <t>Seznam použitých zkratek:</t>
    </r>
    <r>
      <rPr>
        <sz val="11"/>
        <rFont val="Calibri"/>
        <family val="2"/>
        <charset val="238"/>
        <scheme val="minor"/>
      </rPr>
      <t xml:space="preserve">
</t>
    </r>
    <r>
      <rPr>
        <b/>
        <sz val="11"/>
        <color rgb="FFFF0000"/>
        <rFont val="Calibri"/>
        <family val="2"/>
        <charset val="238"/>
        <scheme val="minor"/>
      </rPr>
      <t>GDPR</t>
    </r>
    <r>
      <rPr>
        <b/>
        <sz val="11"/>
        <rFont val="Calibri"/>
        <family val="2"/>
        <charset val="238"/>
        <scheme val="minor"/>
      </rPr>
      <t xml:space="preserve"> </t>
    </r>
    <r>
      <rPr>
        <sz val="11"/>
        <rFont val="Calibri"/>
        <family val="2"/>
        <charset val="238"/>
        <scheme val="minor"/>
      </rPr>
      <t xml:space="preserve">- NAŘÍZENÍ EVROPSKÉHO PRLAMENTU A RADY (EU) 2016/679 ze dne 27. dubna 2016 o ochraně fyzických osob v souvislosti se zpracováním osobních údajů a o volném pohybu těchto údajů a o zrušení směrnice 95/46/ES (obecné nařízení o ochraně osobních údajů)
</t>
    </r>
    <r>
      <rPr>
        <b/>
        <sz val="11"/>
        <color rgb="FFFF0000"/>
        <rFont val="Calibri"/>
        <family val="2"/>
        <charset val="238"/>
        <scheme val="minor"/>
      </rPr>
      <t>OOÚ</t>
    </r>
    <r>
      <rPr>
        <sz val="11"/>
        <rFont val="Calibri"/>
        <family val="2"/>
        <charset val="238"/>
        <scheme val="minor"/>
      </rPr>
      <t xml:space="preserve"> - ochrana osobních údajů
</t>
    </r>
    <r>
      <rPr>
        <b/>
        <sz val="11"/>
        <color rgb="FFFF0000"/>
        <rFont val="Calibri"/>
        <family val="2"/>
        <charset val="238"/>
        <scheme val="minor"/>
      </rPr>
      <t>OÚ</t>
    </r>
    <r>
      <rPr>
        <sz val="11"/>
        <rFont val="Calibri"/>
        <family val="2"/>
        <charset val="238"/>
        <scheme val="minor"/>
      </rPr>
      <t xml:space="preserve"> - osobní údaj
</t>
    </r>
    <r>
      <rPr>
        <b/>
        <sz val="11"/>
        <color rgb="FFFF0000"/>
        <rFont val="Calibri"/>
        <family val="2"/>
        <charset val="238"/>
        <scheme val="minor"/>
      </rPr>
      <t>ZOOÚ</t>
    </r>
    <r>
      <rPr>
        <sz val="11"/>
        <rFont val="Calibri"/>
        <family val="2"/>
        <charset val="238"/>
        <scheme val="minor"/>
      </rPr>
      <t xml:space="preserve"> - zákon č. 101/2000 Sb., o ochraně osobních údajů a o změně některých zákonů
</t>
    </r>
  </si>
  <si>
    <t>List FORMULÁŘ nevyplňujte! Zkopírujte jej, kopii nazvěte číslem zpracování, které bude uvedeno v buňce C3, a poté jej vyplňte. Takto postupujte u každého nového formuláře pro další zpracování.</t>
  </si>
  <si>
    <t>List "ÚVOD"</t>
  </si>
  <si>
    <t>List "FORMULÁŘ"</t>
  </si>
  <si>
    <t>D6</t>
  </si>
  <si>
    <t>D7</t>
  </si>
  <si>
    <t>D8</t>
  </si>
  <si>
    <t>D9</t>
  </si>
  <si>
    <t>D11</t>
  </si>
  <si>
    <t>D12</t>
  </si>
  <si>
    <t>D13</t>
  </si>
  <si>
    <t>D15</t>
  </si>
  <si>
    <t>D16</t>
  </si>
  <si>
    <t>Adresa sídla podle příslušného zápisu v obchodním rejstříku nebo obdobné evidenci.</t>
  </si>
  <si>
    <t>IČ podle příslušného rejstříku.</t>
  </si>
  <si>
    <t>Jméno a příjmení odpovědné osoby za celou oblast ochrany osobních údajů u správce.</t>
  </si>
  <si>
    <t xml:space="preserve">Jméno a příjmení pověřence, pokud je jmenován. </t>
  </si>
  <si>
    <t>Záznamy ze CCTV</t>
  </si>
  <si>
    <t>A001</t>
  </si>
  <si>
    <t>IT oddělení</t>
  </si>
  <si>
    <t>Ing. Miroslav Švanda</t>
  </si>
  <si>
    <t>m.svanda@zk.cz</t>
  </si>
  <si>
    <t>+420 720 258 698</t>
  </si>
  <si>
    <t>vedoucí IT oddělení, security manager</t>
  </si>
  <si>
    <t>nejsou</t>
  </si>
  <si>
    <t>kamerový systém</t>
  </si>
  <si>
    <t>audiovizuální záznam osob</t>
  </si>
  <si>
    <t>ochrana života a zdraví osob, ochrana majetku správce a osob vstupujících do monitorovaného prostoru, ochrana informací</t>
  </si>
  <si>
    <t>30 dní</t>
  </si>
  <si>
    <t>Kopie záznamů v trezoru kanceláře č. 209 (vedoucího IT).</t>
  </si>
  <si>
    <t>První hlídací s.r.o.</t>
  </si>
  <si>
    <t>Modřanská 354/18, 100 00 Praha 10</t>
  </si>
  <si>
    <t>Mgr. Jaroslav Obezřetný</t>
  </si>
  <si>
    <t>jobezretny@prvnihlidaci.com</t>
  </si>
  <si>
    <t>+420 603 258 699</t>
  </si>
  <si>
    <t>Personální evidence</t>
  </si>
  <si>
    <t>personální oddělení</t>
  </si>
  <si>
    <t>Ing. Marie Pracovitá</t>
  </si>
  <si>
    <t>m.pracovita@zk.cz</t>
  </si>
  <si>
    <t>+420 720 147 147</t>
  </si>
  <si>
    <t>vedení společnosti, personální ředitel, zaměstnanci personálního oddělení, vedoucí zaměstnanci</t>
  </si>
  <si>
    <t>zaměstnanci</t>
  </si>
  <si>
    <t xml:space="preserve">Plnění zákonných povinností a vnitřních předpisů (režimová opatření ke vstupu zaměstnanců do areálu společnosti a pohyb v něm), propagace společnosti po dobu trvání pracovního poměru zaměstnance. </t>
  </si>
  <si>
    <t>Archiv (dv. č. 350), kanceláře personálního oddělení (dv. č. 222 - 225).</t>
  </si>
  <si>
    <t>P001</t>
  </si>
  <si>
    <t>Dokumentování příp. protiprávních jednání, vč. latentní kriminality, s ohledem na možnost včas pořídit kopii záznamu pro předání příslušným orgánům jako důkaz pro příslušné řízení. Kratší doba je vyloučena s ohledem na bezpečnostní situaci v lokalitě, kde je CCTV umístěno a s ohledem na časté požadavky Policie ČR o předání záznamů ze CCTV starších 3 týdnů.</t>
  </si>
  <si>
    <t>Jméno a příjmení jednající osoby podle příslušného zápisu v bochodním rejtříku nebo obdobné evidenci.</t>
  </si>
  <si>
    <t>Jméno správce, kterým je vaše organizace.</t>
  </si>
  <si>
    <t>Pracovní e-mail odpovědné osoby.</t>
  </si>
  <si>
    <t>Pracovní telefonní číslo odpovědné osoby.</t>
  </si>
  <si>
    <t>Pracovní e-mail pověřence, pokud je jmenován.</t>
  </si>
  <si>
    <t>Pracovní telefonní číslo pověřence, pokud je jmenován.</t>
  </si>
  <si>
    <t>Uveďte název zpracování, kterým je nejlépe vystižena agenda, v níž jsou osobní údaje zpracovány (Personální a mzdová evidence, Evidence držitelů vstupních karet, Kamerový systém, Dodavatelské a odběratelské smlouvy, ....). Název zpracování se bude používat v navazujících dokumentech.</t>
  </si>
  <si>
    <t>Každé zpracování označte jedinečným označením (forma číslování není stanovena). Číslo pak použijte v názvu daného listu, např. "35", "RSV-02" apod.</t>
  </si>
  <si>
    <t>Organizační jednotkou je myšlena organizační součást správce, který zpracování provádí (např. ekonomický odbor, personální oddělení apod.). Nejsou-li organizační součásti zavedeny, údaj se nevyplňuje.</t>
  </si>
  <si>
    <t>Odpovědná osoba za danou oblast zpracování (uveďte titul, jméno, příjmení, pracovní pozici). Uvedená osoba by měla být současně respondentem tohoto check listu. Nedoporučujeme, aby byla jmenována více, než jedna odpovědná osoba za jedno identifikované zpracování.</t>
  </si>
  <si>
    <r>
      <t xml:space="preserve">Uveďte, z jakých zdrojů OÚ shromažďujete:
</t>
    </r>
    <r>
      <rPr>
        <b/>
        <sz val="9"/>
        <rFont val="Calibri"/>
        <family val="2"/>
        <charset val="238"/>
        <scheme val="minor"/>
      </rPr>
      <t>- od subjektu údajů</t>
    </r>
    <r>
      <rPr>
        <sz val="9"/>
        <rFont val="Calibri"/>
        <family val="2"/>
        <charset val="238"/>
        <scheme val="minor"/>
      </rPr>
      <t xml:space="preserve">
</t>
    </r>
    <r>
      <rPr>
        <b/>
        <sz val="9"/>
        <rFont val="Calibri"/>
        <family val="2"/>
        <charset val="238"/>
        <scheme val="minor"/>
      </rPr>
      <t>- z veřejných zdrojů</t>
    </r>
    <r>
      <rPr>
        <sz val="9"/>
        <rFont val="Calibri"/>
        <family val="2"/>
        <charset val="238"/>
        <scheme val="minor"/>
      </rPr>
      <t xml:space="preserve"> (specifikujte z jakých zdrojů)
</t>
    </r>
    <r>
      <rPr>
        <b/>
        <sz val="9"/>
        <rFont val="Calibri"/>
        <family val="2"/>
        <charset val="238"/>
        <scheme val="minor"/>
      </rPr>
      <t>- z jiných zdrojů</t>
    </r>
    <r>
      <rPr>
        <sz val="9"/>
        <rFont val="Calibri"/>
        <family val="2"/>
        <charset val="238"/>
        <scheme val="minor"/>
      </rPr>
      <t xml:space="preserve"> (specifikujte z jakých zdrojů).
Zdroje mohou být uvedeny kumulativně, např.: "od subjektu údajů, z veřejných zdrojů - OR, ARES".</t>
    </r>
  </si>
  <si>
    <r>
      <t xml:space="preserve">Vypište všechny informace o fyzické osobě, které v souvislosti s předmětným zpracováním OÚ shromažďujete (např. titul, jméno, příjmení, r.č., bydliště, čísla  a druh dokladů, číslo účtu, fotografie, telefonní číslo, e-mailová adresa, osobní evidenční číslo atd.). 
</t>
    </r>
    <r>
      <rPr>
        <b/>
        <i/>
        <sz val="9"/>
        <rFont val="Calibri"/>
        <family val="2"/>
        <charset val="238"/>
        <scheme val="minor"/>
      </rPr>
      <t>„Osobními údaji“ jsou veškeré informace o identifikované nebo identifikovatelné fyzické osobě (dále jen „subjekt údajů“); identifikovatelnou fyzickou osobou je fyzická osoba, kterou lze přímo či nepřímo identifikovat, zejména odkazem na určitý identifikátor, například jméno, identifikační číslo, lokační údaje, síťový identifikátor nebo na jeden či více zvláštních prvků fyzické, fyziologické, genetické, psychické, ekonomické, kulturní nebo společenské identity této fyzické osoby.</t>
    </r>
    <r>
      <rPr>
        <sz val="9"/>
        <rFont val="Calibri"/>
        <family val="2"/>
        <charset val="238"/>
        <scheme val="minor"/>
      </rPr>
      <t xml:space="preserve"> (čl. 4 odst. 1 GDPR)</t>
    </r>
  </si>
  <si>
    <t>Uveďte dobu, po kterou budou osobní údaje uchovány a není-li ji možné určit, kritéria použitá ke stanovení této doby. Doba může být vyjádřena rovněž uplynutím určité události (např. 2 roky od zakoupení zboží). Nelze akceptovat dobu vyjádřenou slovy "nekonečně", "dle rozhodnutí správce", "na neurčito", "podle potřeby" apod. Pokud dobu uložení stanoví obecně závazný právní předpis, lze uvést odkaz na příslušný právní předpis, např. "podle z.č. 12x/20yy Sb." Zvolit lze odkaz na příslušný vnitřní předpis, např. "podle spisového a skartačního řádu č. xx/yyyy" (pak je třeba zrevidovat příslušné ustanovení spisového a skartačního řádu).</t>
  </si>
  <si>
    <t>Uveďte právní důvod doby uložení OÚ odkazem na příslušné ustanovení obecně závazného právního předpisu podobně jako u doby uložení a není-li dán, pak vlastní odůvodnění doby uložení OÚ (např. "na základě pravidel dotací z Evropských strukturálních a investičních fondů".</t>
  </si>
  <si>
    <t xml:space="preserve">Vyplňte pouze v případě, že osobní údaje jsou ukládány v listinné podobě nebo na externích nosičích (DVD, flash disk, …), např. budova B, 1PP, archiv nebo kancelář č. 236 apod. Umístění počítačů, serverů a dalšího HW vybavení neuvádějte. </t>
  </si>
  <si>
    <r>
      <t xml:space="preserve">Vyberte jednu z možností, zda provádíte profilování. 
</t>
    </r>
    <r>
      <rPr>
        <b/>
        <i/>
        <sz val="9"/>
        <rFont val="Calibri"/>
        <family val="2"/>
        <charset val="238"/>
        <scheme val="minor"/>
      </rPr>
      <t>„Profilováním“ se rozumí jakákoli forma automatizovaného zpracování osobních údajů spočívající v jejich použití k hodnocení některých osobních aspektů vztahujících se k fyzické osobě, zejména k rozboru nebo odhadu aspektů týkajících se jejího pracovního výkonu, ekonomické situace, zdravotního stavu, osobních preferencí, zájmů, spolehlivosti, chování, místa, kde se nachází, nebo pohybu.</t>
    </r>
    <r>
      <rPr>
        <sz val="9"/>
        <rFont val="Calibri"/>
        <family val="2"/>
        <charset val="238"/>
        <scheme val="minor"/>
      </rPr>
      <t xml:space="preserve"> (čl. 4 odst. 4 GDPR)</t>
    </r>
  </si>
  <si>
    <r>
      <t xml:space="preserve">Uveďte existenci společného správce ve smyslu čl. 26 odst. 1 GDPR.
</t>
    </r>
    <r>
      <rPr>
        <b/>
        <i/>
        <sz val="9"/>
        <rFont val="Calibri"/>
        <family val="2"/>
        <charset val="238"/>
        <scheme val="minor"/>
      </rPr>
      <t>Pokud účely a prostředky zpracování stanoví společně dva nebo více správců, jsou společnými správci. Společní správci mezi sebou transparentním ujednáním vymezí své podíly na odpovědnosti za plnění povinností podle tohoto nařízení, zejména pokud jde o výkon práv subjektu údajů, a své povinnosti poskytovat informace uvedené v článcích 13 a 14, pokud tuto odpovědnost správců nestanoví právo Unie nebo členského státu, které se na správce vztahuje. V ujednání může být určeno kontaktní místo pro subjekty údajů.</t>
    </r>
    <r>
      <rPr>
        <sz val="9"/>
        <rFont val="Calibri"/>
        <family val="2"/>
        <charset val="238"/>
        <scheme val="minor"/>
      </rPr>
      <t xml:space="preserve"> (čl. 26 odst. 1 GDPR)</t>
    </r>
  </si>
  <si>
    <r>
      <t xml:space="preserve">Uveďte, zda využíváte zpracovatele ve smyslu čl. 28 GDPR, tedy jakýkoliv jiný subjekt, než subjekt uvedený v listu "Úvod". Zpracovatelem není zaměstnanec správce.
</t>
    </r>
    <r>
      <rPr>
        <b/>
        <i/>
        <sz val="9"/>
        <rFont val="Calibri"/>
        <family val="2"/>
        <charset val="238"/>
        <scheme val="minor"/>
      </rPr>
      <t>„Zpracovatelem“ se rozumí fyzická nebo právnická osoba, orgán veřejné moci, agentura nebo jiný subjekt, který zpracovává osobní údaje pro správce</t>
    </r>
    <r>
      <rPr>
        <sz val="9"/>
        <rFont val="Calibri"/>
        <family val="2"/>
        <charset val="238"/>
        <scheme val="minor"/>
      </rPr>
      <t xml:space="preserve"> (čl. 4 odst. 8 GDPR)</t>
    </r>
  </si>
  <si>
    <t>Uveďte osobu odpovědnou za zpracování osobních údajů (např. dle smlouvy o zpracování osobních údajů).</t>
  </si>
  <si>
    <t>Uveďte počet zpracovatelů, kteří se podílení na zpracování, které je předmětem tohoto check listu. Pokud je zpracovatelů více, než pět, údaje vyplňte na samostatné příloze.</t>
  </si>
  <si>
    <t>komerční pojišťovny</t>
  </si>
  <si>
    <t>f</t>
  </si>
  <si>
    <t>osoby vstupující do monitorovaného prostoru</t>
  </si>
  <si>
    <t>zdravotní pojišťovny, ČSSZ, úřad práce, …..</t>
  </si>
  <si>
    <t>a - fotografie zaměstnance, c - dle pracovněprávních předpisů, f - fotografie zaměstnance</t>
  </si>
  <si>
    <t>titul, jméno, příjmení, datum narození, rodné číslo, trvalé bydliště, doručovací adresa, ……………………., fotografie zaměstnance</t>
  </si>
  <si>
    <t>Plnění povinností podle pracovněprávních předpisů. Fotografie zaměstnance pro její zveřejnění na webových stránkách společnosti a pro vystavení přístupových karet zaměstnanců.</t>
  </si>
  <si>
    <t>Podle požadavků příslušných právních předpisů, fotografie xx dnů od data ukončení pracovního nebo obdobného poměru.</t>
  </si>
  <si>
    <t>xxx</t>
  </si>
  <si>
    <t>Vyplňte pouze v případě, že organizační součást má přidělené vlastní číslo, pod kterým je v příslušných interních aktech řízení uváděna.</t>
  </si>
  <si>
    <t>Uveďte výčet pracovních pozic spolu se zařazením do organizačních jednotek, které jsou oprávněny zpracovávat předmětné OÚ. Výčet těchto pozic má vliv na pozdější stanovení bezpečnostních opatření, zejména pak v oblasti fyzické bezpečnosti a bezpečnosti IT. Nezapomínejte na osoby, které mají oprávnění na základě svých specifických pracovních povinností, např. generální ředitel, právník, interní auditoři apod., vč. osob, které zajišťují případnou zastupitelnost.</t>
  </si>
  <si>
    <r>
      <t xml:space="preserve">Uveďte počet subjektů údajů (zaokrouhleně), k nimž se OÚ zpracovávají, např. "20", "300", "12.000". Nezapomeňte na osoby, jejichž údaje aktivně nevyužíváte, přesto jejich OÚ archivujete, např. v případě personální evidence. </t>
    </r>
    <r>
      <rPr>
        <i/>
        <sz val="9"/>
        <rFont val="Calibri"/>
        <family val="2"/>
        <charset val="238"/>
        <scheme val="minor"/>
      </rPr>
      <t>Je-li současný počet zaměstnanců 400, společnost působí na trhu 18 let a roční fluktuace činí cca 40 osob, pak celkový počet subjektů údajů bude 400 + (18 * 40) = 1.120</t>
    </r>
  </si>
  <si>
    <r>
      <t xml:space="preserve">Vyplňte puze v případě, že příjemcem osobních údajů budou osoby mimo subjekt údajů a správce, vč. jeho zaměstnanců. Tyto osoby pak specifikujte (např. komerční pojišťovny, ČSSZ, zdravotní pojišťovny, smluvní partneři atd.) Neuvádějte subjekty uvedené ve větě druhé citované definice.
</t>
    </r>
    <r>
      <rPr>
        <b/>
        <i/>
        <sz val="9"/>
        <rFont val="Calibri"/>
        <family val="2"/>
        <charset val="238"/>
        <scheme val="minor"/>
      </rPr>
      <t>„příjemcem“ fyzická nebo právnická osoba, orgán veřejné moci, agentura nebo jiný subjekt, kterým jsou osobní údaje poskytnuty, ať už se jedná o třetí stranu, či nikoli. Avšak orgány veřejné moci, které mohou získávat osobní údaje v rámci zvláštního šetření v souladu s právem členského státu, se za příjemce nepovažují; zpracování těchto osobních údajů těmito orgány veřejné moci musí být v souladu s použitelnými pravidly ochrany údajů pro dané účely zpracování</t>
    </r>
    <r>
      <rPr>
        <sz val="9"/>
        <rFont val="Calibri"/>
        <family val="2"/>
        <charset val="238"/>
        <scheme val="minor"/>
      </rPr>
      <t xml:space="preserve"> (čl. 4 odst. 9 GDPR)
</t>
    </r>
  </si>
  <si>
    <r>
      <t xml:space="preserve">Uveďte, zda provádíte zpracování OÚ týkajících se rozsudků v trestních věcech a trestných činů podle čl. 10 GDPR.
</t>
    </r>
    <r>
      <rPr>
        <b/>
        <i/>
        <sz val="9"/>
        <rFont val="Calibri"/>
        <family val="2"/>
        <charset val="238"/>
        <scheme val="minor"/>
      </rPr>
      <t>Zpracování osobních údajů týkajících se rozsudků v trestních věcech a trestných činů či souvisejících bezpečnostních opatření na základě čl. 6 odst. 1 se může provádět pouze pod dozorem orgánu veřejné moci nebo pokud je oprávněné podle práva Unie nebo členského státu poskytujícího vhodné záruky, pokud jde o práva a svobody subjektů údajů. Jakýkoli souhrnný rejstřík trestů může být veden pouze pod dozorem orgánu veřejné moci.</t>
    </r>
    <r>
      <rPr>
        <sz val="9"/>
        <rFont val="Calibri"/>
        <family val="2"/>
        <charset val="238"/>
        <scheme val="minor"/>
      </rPr>
      <t xml:space="preserve"> (čl. 10 GDPR)</t>
    </r>
  </si>
  <si>
    <t>Kamerový systém</t>
  </si>
  <si>
    <t>vizuální záznam osob</t>
  </si>
  <si>
    <t>ochrana osob a majetku ve firemním areálu</t>
  </si>
  <si>
    <t>20 dní</t>
  </si>
  <si>
    <t>Dokumentování případných protiprávních jednání. Ochrana zaměstnanců a majetku.</t>
  </si>
  <si>
    <t>Zálohy serverů a databází</t>
  </si>
  <si>
    <t>Automatizované</t>
  </si>
  <si>
    <t>Ochrana dat, prevence proti ztrátě</t>
  </si>
  <si>
    <t>zálohování dat</t>
  </si>
  <si>
    <t>IT 1</t>
  </si>
  <si>
    <t>1f</t>
  </si>
  <si>
    <t>Zaměstnanci, zákazníci, návštěvníci</t>
  </si>
  <si>
    <t>IT 2</t>
  </si>
  <si>
    <t>1 měsíc?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</si>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</sst>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238"/>
      <scheme val="minor"/>
    </font>
    <font>
      <b/>
      <sz val="11"/>
      <color theme="1"/>
      <name val="Calibri"/>
      <family val="2"/>
      <charset val="238"/>
      <scheme val="minor"/>
    </font>
    <font>
      <sz val="11"/>
      <color theme="0"/>
      <name val="Calibri"/>
      <family val="2"/>
      <charset val="238"/>
      <scheme val="minor"/>
    </font>
    <font>
      <b/>
      <sz val="16"/>
      <name val="Calibri"/>
      <family val="2"/>
      <charset val="238"/>
      <scheme val="minor"/>
    </font>
    <font>
      <sz val="11"/>
      <name val="Calibri"/>
      <family val="2"/>
      <charset val="238"/>
      <scheme val="minor"/>
    </font>
    <font>
      <b/>
      <sz val="11"/>
      <name val="Calibri"/>
      <family val="2"/>
      <charset val="238"/>
      <scheme val="minor"/>
    </font>
    <font>
      <b/>
      <sz val="12"/>
      <name val="Calibri"/>
      <family val="2"/>
      <charset val="238"/>
      <scheme val="minor"/>
    </font>
    <font>
      <u/>
      <sz val="11"/>
      <name val="Calibri"/>
      <family val="2"/>
      <charset val="238"/>
      <scheme val="minor"/>
    </font>
    <font>
      <sz val="9"/>
      <color indexed="81"/>
      <name val="Tahoma"/>
      <family val="2"/>
      <charset val="238"/>
    </font>
    <font>
      <b/>
      <sz val="9"/>
      <color indexed="81"/>
      <name val="Tahoma"/>
      <family val="2"/>
      <charset val="238"/>
    </font>
    <font>
      <b/>
      <u/>
      <sz val="11"/>
      <name val="Calibri"/>
      <family val="2"/>
      <charset val="238"/>
      <scheme val="minor"/>
    </font>
    <font>
      <b/>
      <sz val="11"/>
      <color rgb="FFFF0000"/>
      <name val="Calibri"/>
      <family val="2"/>
      <charset val="238"/>
      <scheme val="minor"/>
    </font>
    <font>
      <i/>
      <sz val="9"/>
      <color indexed="81"/>
      <name val="Tahoma"/>
      <family val="2"/>
      <charset val="238"/>
    </font>
    <font>
      <b/>
      <i/>
      <sz val="9"/>
      <color indexed="81"/>
      <name val="Tahoma"/>
      <family val="2"/>
      <charset val="238"/>
    </font>
    <font>
      <u/>
      <sz val="9"/>
      <color indexed="81"/>
      <name val="Tahoma"/>
      <family val="2"/>
      <charset val="238"/>
    </font>
    <font>
      <sz val="9"/>
      <name val="Calibri"/>
      <family val="2"/>
      <charset val="238"/>
      <scheme val="minor"/>
    </font>
    <font>
      <b/>
      <sz val="9"/>
      <name val="Calibri"/>
      <family val="2"/>
      <charset val="238"/>
      <scheme val="minor"/>
    </font>
    <font>
      <b/>
      <i/>
      <sz val="9"/>
      <name val="Calibri"/>
      <family val="2"/>
      <charset val="238"/>
      <scheme val="minor"/>
    </font>
    <font>
      <u/>
      <sz val="9"/>
      <name val="Calibri"/>
      <family val="2"/>
      <charset val="238"/>
      <scheme val="minor"/>
    </font>
    <font>
      <b/>
      <sz val="18"/>
      <color rgb="FFFF0000"/>
      <name val="Calibri"/>
      <family val="2"/>
      <charset val="238"/>
      <scheme val="minor"/>
    </font>
    <font>
      <u/>
      <sz val="11"/>
      <color theme="10"/>
      <name val="Calibri"/>
      <family val="2"/>
      <charset val="238"/>
      <scheme val="minor"/>
    </font>
    <font>
      <i/>
      <sz val="9"/>
      <name val="Calibri"/>
      <family val="2"/>
      <charset val="238"/>
      <scheme val="minor"/>
    </font>
    <font>
      <b/>
      <sz val="9"/>
      <color rgb="FF333333"/>
      <name val="Inherit"/>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s>
  <borders count="15">
    <border>
      <left/>
      <right/>
      <top/>
      <bottom/>
      <diagonal/>
    </border>
    <border>
      <left style="thin">
        <color theme="1"/>
      </left>
      <right style="thin">
        <color theme="1"/>
      </right>
      <top style="thin">
        <color theme="1"/>
      </top>
      <bottom style="thin">
        <color theme="1"/>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8" tint="0.39994506668294322"/>
      </bottom>
      <diagonal/>
    </border>
    <border>
      <left/>
      <right/>
      <top style="thin">
        <color theme="1"/>
      </top>
      <bottom style="thin">
        <color theme="8" tint="0.39994506668294322"/>
      </bottom>
      <diagonal/>
    </border>
    <border>
      <left/>
      <right style="thin">
        <color theme="1"/>
      </right>
      <top style="thin">
        <color theme="1"/>
      </top>
      <bottom style="thin">
        <color theme="8" tint="0.39994506668294322"/>
      </bottom>
      <diagonal/>
    </border>
  </borders>
  <cellStyleXfs count="2">
    <xf numFmtId="0" fontId="0" fillId="0" borderId="0"/>
    <xf numFmtId="0" fontId="20" fillId="0" borderId="0" applyNumberFormat="0" applyFill="0" applyBorder="0" applyAlignment="0" applyProtection="0"/>
  </cellStyleXfs>
  <cellXfs count="60">
    <xf numFmtId="0" fontId="0" fillId="0" borderId="0" xfId="0"/>
    <xf numFmtId="0" fontId="2" fillId="2" borderId="0" xfId="0" applyFont="1" applyFill="1"/>
    <xf numFmtId="0" fontId="2" fillId="3" borderId="0" xfId="0" applyFont="1" applyFill="1"/>
    <xf numFmtId="0" fontId="3" fillId="3" borderId="0" xfId="0" applyFont="1" applyFill="1"/>
    <xf numFmtId="0" fontId="4" fillId="3" borderId="0" xfId="0" applyFont="1" applyFill="1"/>
    <xf numFmtId="0" fontId="5" fillId="3" borderId="0" xfId="0" applyFont="1" applyFill="1"/>
    <xf numFmtId="0" fontId="4" fillId="2" borderId="1" xfId="0" applyFont="1" applyFill="1" applyBorder="1"/>
    <xf numFmtId="0" fontId="6" fillId="3" borderId="0" xfId="0" applyFont="1" applyFill="1"/>
    <xf numFmtId="0" fontId="7" fillId="3" borderId="0" xfId="0" applyFont="1" applyFill="1"/>
    <xf numFmtId="0" fontId="4" fillId="2" borderId="3" xfId="0" applyFont="1" applyFill="1" applyBorder="1"/>
    <xf numFmtId="0" fontId="4" fillId="2" borderId="4" xfId="0" applyFont="1" applyFill="1" applyBorder="1"/>
    <xf numFmtId="0" fontId="4" fillId="2" borderId="5" xfId="0" applyFont="1" applyFill="1" applyBorder="1"/>
    <xf numFmtId="0" fontId="4" fillId="2" borderId="6" xfId="0" applyFont="1" applyFill="1" applyBorder="1"/>
    <xf numFmtId="0" fontId="5"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5" xfId="0" applyFont="1" applyFill="1" applyBorder="1" applyAlignment="1">
      <alignment vertical="top"/>
    </xf>
    <xf numFmtId="0" fontId="1" fillId="4" borderId="2" xfId="0" applyFont="1" applyFill="1" applyBorder="1" applyAlignment="1">
      <alignment vertical="top"/>
    </xf>
    <xf numFmtId="0" fontId="4" fillId="2" borderId="6" xfId="0" applyFont="1" applyFill="1" applyBorder="1" applyAlignment="1">
      <alignment vertical="top"/>
    </xf>
    <xf numFmtId="0" fontId="1" fillId="4" borderId="7" xfId="0" applyFont="1" applyFill="1" applyBorder="1" applyAlignment="1">
      <alignment vertical="top"/>
    </xf>
    <xf numFmtId="0" fontId="4" fillId="2" borderId="1" xfId="0" applyFont="1" applyFill="1" applyBorder="1" applyAlignment="1">
      <alignment vertical="top"/>
    </xf>
    <xf numFmtId="0" fontId="6" fillId="3" borderId="2" xfId="0" applyFont="1" applyFill="1" applyBorder="1" applyAlignment="1">
      <alignment horizontal="left" vertical="top" wrapText="1"/>
    </xf>
    <xf numFmtId="3" fontId="4" fillId="3" borderId="2" xfId="0" applyNumberFormat="1" applyFont="1" applyFill="1" applyBorder="1" applyAlignment="1">
      <alignment horizontal="left" vertical="top" wrapText="1"/>
    </xf>
    <xf numFmtId="0" fontId="5" fillId="4" borderId="2" xfId="0" applyFont="1" applyFill="1" applyBorder="1" applyAlignment="1">
      <alignment vertical="top"/>
    </xf>
    <xf numFmtId="0" fontId="0" fillId="2" borderId="0" xfId="0" applyFill="1"/>
    <xf numFmtId="0" fontId="15" fillId="2" borderId="5" xfId="0" applyFont="1" applyFill="1" applyBorder="1"/>
    <xf numFmtId="0" fontId="15" fillId="3" borderId="2" xfId="0" applyFont="1" applyFill="1" applyBorder="1" applyAlignment="1">
      <alignment horizontal="left" vertical="top" wrapText="1"/>
    </xf>
    <xf numFmtId="0" fontId="15" fillId="2" borderId="6" xfId="0" applyFont="1" applyFill="1" applyBorder="1"/>
    <xf numFmtId="3" fontId="15" fillId="3" borderId="2" xfId="0" applyNumberFormat="1" applyFont="1" applyFill="1" applyBorder="1" applyAlignment="1">
      <alignment horizontal="left" vertical="top" wrapText="1"/>
    </xf>
    <xf numFmtId="0" fontId="15" fillId="3" borderId="8" xfId="0" applyFont="1" applyFill="1" applyBorder="1" applyAlignment="1">
      <alignment horizontal="left" vertical="top" wrapText="1"/>
    </xf>
    <xf numFmtId="0" fontId="15" fillId="2" borderId="1" xfId="0" applyFont="1" applyFill="1" applyBorder="1" applyAlignment="1">
      <alignment horizontal="left" vertical="top" wrapText="1"/>
    </xf>
    <xf numFmtId="0" fontId="15" fillId="2" borderId="1" xfId="0" applyFont="1" applyFill="1" applyBorder="1"/>
    <xf numFmtId="0" fontId="4" fillId="2" borderId="5" xfId="0" applyFont="1" applyFill="1" applyBorder="1" applyAlignment="1">
      <alignment horizontal="center"/>
    </xf>
    <xf numFmtId="0" fontId="4" fillId="3" borderId="2" xfId="0" applyFont="1" applyFill="1" applyBorder="1" applyAlignment="1">
      <alignment horizontal="center" vertical="top" wrapText="1"/>
    </xf>
    <xf numFmtId="0" fontId="4" fillId="2" borderId="6" xfId="0" applyFont="1" applyFill="1" applyBorder="1" applyAlignment="1">
      <alignment horizontal="center"/>
    </xf>
    <xf numFmtId="3" fontId="4" fillId="3" borderId="2" xfId="0" applyNumberFormat="1" applyFont="1" applyFill="1" applyBorder="1" applyAlignment="1">
      <alignment horizontal="center" vertical="top" wrapText="1"/>
    </xf>
    <xf numFmtId="0" fontId="4" fillId="3" borderId="8" xfId="0"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xf>
    <xf numFmtId="0" fontId="4" fillId="2" borderId="3" xfId="0" applyFont="1" applyFill="1" applyBorder="1" applyAlignment="1">
      <alignment horizontal="center"/>
    </xf>
    <xf numFmtId="0" fontId="4" fillId="3" borderId="2" xfId="0" applyFont="1" applyFill="1" applyBorder="1" applyAlignment="1">
      <alignment horizontal="center" vertical="center" wrapText="1"/>
    </xf>
    <xf numFmtId="0" fontId="4" fillId="3" borderId="5" xfId="0" applyFont="1" applyFill="1" applyBorder="1" applyAlignment="1">
      <alignment vertical="top"/>
    </xf>
    <xf numFmtId="0" fontId="15" fillId="3" borderId="5" xfId="0" applyFont="1" applyFill="1" applyBorder="1"/>
    <xf numFmtId="0" fontId="3" fillId="3" borderId="5" xfId="0" applyFont="1" applyFill="1" applyBorder="1" applyAlignment="1">
      <alignment horizontal="left"/>
    </xf>
    <xf numFmtId="0" fontId="1" fillId="4" borderId="2" xfId="0" applyFont="1" applyFill="1" applyBorder="1" applyAlignment="1">
      <alignment vertical="top" wrapText="1"/>
    </xf>
    <xf numFmtId="0" fontId="20" fillId="3" borderId="2" xfId="1" applyFill="1" applyBorder="1" applyAlignment="1">
      <alignment horizontal="left" vertical="top" wrapText="1"/>
    </xf>
    <xf numFmtId="49" fontId="4" fillId="3"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3" fontId="0" fillId="0" borderId="0" xfId="0" applyNumberFormat="1" applyFont="1" applyAlignment="1">
      <alignment horizontal="left"/>
    </xf>
    <xf numFmtId="0" fontId="22" fillId="0" borderId="0" xfId="0" applyFont="1"/>
    <xf numFmtId="0" fontId="4" fillId="3" borderId="9"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19"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cellXfs>
  <cellStyles count="2">
    <cellStyle name="Hypertextový odkaz" xfId="1" builtinId="8"/>
    <cellStyle name="Normální" xfId="0" builtinId="0"/>
  </cellStyles>
  <dxfs count="48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patternFill>
      </fill>
    </dxf>
    <dxf>
      <fill>
        <patternFill>
          <bgColor theme="1"/>
        </patternFill>
      </fill>
    </dxf>
    <dxf>
      <fill>
        <patternFill>
          <bgColor rgb="FFFF0000"/>
        </patternFill>
      </fill>
    </dxf>
    <dxf>
      <fill>
        <patternFill>
          <bgColor rgb="FFFF0000"/>
        </patternFill>
      </fill>
    </dxf>
    <dxf>
      <font>
        <b/>
        <i val="0"/>
        <color auto="1"/>
      </font>
      <fill>
        <patternFill>
          <bgColor rgb="FFFF0000"/>
        </patternFill>
      </fill>
    </dxf>
    <dxf>
      <font>
        <b/>
        <i val="0"/>
        <color auto="1"/>
      </font>
      <fill>
        <patternFill>
          <bgColor rgb="FFFF0000"/>
        </patternFill>
      </fill>
    </dxf>
    <dxf>
      <font>
        <b/>
        <i val="0"/>
      </font>
      <fill>
        <patternFill>
          <bgColor rgb="FFFF0000"/>
        </patternFill>
      </fill>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b/>
        <i val="0"/>
        <color auto="1"/>
      </font>
      <fill>
        <patternFill>
          <bgColor rgb="FFFF0000"/>
        </patternFill>
      </fill>
    </dxf>
    <dxf>
      <font>
        <b/>
        <i val="0"/>
        <color auto="1"/>
      </font>
      <fill>
        <patternFill>
          <bgColor rgb="FFFF0000"/>
        </patternFill>
      </fill>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patternFill>
      </fill>
    </dxf>
    <dxf>
      <fill>
        <patternFill>
          <bgColor theme="1"/>
        </patternFill>
      </fill>
    </dxf>
    <dxf>
      <fill>
        <patternFill>
          <bgColor rgb="FFFF0000"/>
        </patternFill>
      </fill>
    </dxf>
    <dxf>
      <fill>
        <patternFill>
          <bgColor rgb="FFFF0000"/>
        </patternFill>
      </fill>
    </dxf>
    <dxf>
      <font>
        <b/>
        <i val="0"/>
        <color auto="1"/>
      </font>
      <fill>
        <patternFill>
          <bgColor rgb="FFFF0000"/>
        </patternFill>
      </fill>
    </dxf>
    <dxf>
      <font>
        <b/>
        <i val="0"/>
        <color auto="1"/>
      </font>
      <fill>
        <patternFill>
          <bgColor rgb="FFFF0000"/>
        </patternFill>
      </fill>
    </dxf>
    <dxf>
      <font>
        <b/>
        <i val="0"/>
      </font>
      <fill>
        <patternFill>
          <bgColor rgb="FFFF0000"/>
        </patternFill>
      </fill>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b/>
        <i val="0"/>
        <color auto="1"/>
      </font>
      <fill>
        <patternFill>
          <bgColor rgb="FFFF0000"/>
        </patternFill>
      </fill>
    </dxf>
    <dxf>
      <font>
        <b/>
        <i val="0"/>
        <color auto="1"/>
      </font>
      <fill>
        <patternFill>
          <bgColor rgb="FFFF0000"/>
        </patternFill>
      </fill>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patternFill>
      </fill>
    </dxf>
    <dxf>
      <fill>
        <patternFill>
          <bgColor theme="1"/>
        </patternFill>
      </fill>
    </dxf>
    <dxf>
      <fill>
        <patternFill>
          <bgColor rgb="FFFF0000"/>
        </patternFill>
      </fill>
    </dxf>
    <dxf>
      <fill>
        <patternFill>
          <bgColor rgb="FFFF0000"/>
        </patternFill>
      </fill>
    </dxf>
    <dxf>
      <font>
        <b/>
        <i val="0"/>
        <color auto="1"/>
      </font>
      <fill>
        <patternFill>
          <bgColor rgb="FFFF0000"/>
        </patternFill>
      </fill>
    </dxf>
    <dxf>
      <font>
        <b/>
        <i val="0"/>
        <color auto="1"/>
      </font>
      <fill>
        <patternFill>
          <bgColor rgb="FFFF0000"/>
        </patternFill>
      </fill>
    </dxf>
    <dxf>
      <font>
        <b/>
        <i val="0"/>
      </font>
      <fill>
        <patternFill>
          <bgColor rgb="FFFF0000"/>
        </patternFill>
      </fill>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b/>
        <i val="0"/>
        <color auto="1"/>
      </font>
      <fill>
        <patternFill>
          <bgColor rgb="FFFF0000"/>
        </patternFill>
      </fill>
    </dxf>
    <dxf>
      <font>
        <b/>
        <i val="0"/>
        <color auto="1"/>
      </font>
      <fill>
        <patternFill>
          <bgColor rgb="FFFF0000"/>
        </patternFill>
      </fill>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1"/>
        </patternFill>
      </fill>
    </dxf>
    <dxf>
      <fill>
        <patternFill>
          <bgColor theme="1"/>
        </patternFill>
      </fill>
    </dxf>
    <dxf>
      <fill>
        <patternFill>
          <bgColor rgb="FFFF0000"/>
        </patternFill>
      </fill>
    </dxf>
    <dxf>
      <fill>
        <patternFill>
          <bgColor rgb="FFFF0000"/>
        </patternFill>
      </fill>
    </dxf>
    <dxf>
      <font>
        <b/>
        <i val="0"/>
        <color auto="1"/>
      </font>
      <fill>
        <patternFill>
          <bgColor rgb="FFFF0000"/>
        </patternFill>
      </fill>
    </dxf>
    <dxf>
      <font>
        <b/>
        <i val="0"/>
        <color auto="1"/>
      </font>
      <fill>
        <patternFill>
          <bgColor rgb="FFFF0000"/>
        </patternFill>
      </fill>
    </dxf>
    <dxf>
      <font>
        <b/>
        <i val="0"/>
      </font>
      <fill>
        <patternFill>
          <bgColor rgb="FFFF0000"/>
        </patternFill>
      </fill>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color theme="1"/>
      </font>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border>
    </dxf>
    <dxf>
      <font>
        <b/>
        <i val="0"/>
        <color auto="1"/>
      </font>
      <fill>
        <patternFill>
          <bgColor rgb="FFFF0000"/>
        </patternFill>
      </fill>
    </dxf>
    <dxf>
      <font>
        <b/>
        <i val="0"/>
        <color auto="1"/>
      </font>
      <fill>
        <patternFill>
          <bgColor rgb="FFFF0000"/>
        </patternFill>
      </fill>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0"/>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theme="1"/>
        </left>
        <right style="thin">
          <color theme="1"/>
        </right>
        <top style="thin">
          <color theme="1"/>
        </top>
        <bottom style="thin">
          <color theme="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
      <fill>
        <patternFill>
          <bgColor theme="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95251</xdr:rowOff>
    </xdr:from>
    <xdr:to>
      <xdr:col>15</xdr:col>
      <xdr:colOff>66675</xdr:colOff>
      <xdr:row>14</xdr:row>
      <xdr:rowOff>142875</xdr:rowOff>
    </xdr:to>
    <xdr:sp macro="" textlink="">
      <xdr:nvSpPr>
        <xdr:cNvPr id="2" name="TextovéPole 1">
          <a:extLst>
            <a:ext uri="{FF2B5EF4-FFF2-40B4-BE49-F238E27FC236}">
              <a16:creationId xmlns:a16="http://schemas.microsoft.com/office/drawing/2014/main" id="{ED340B98-B694-4AA6-B2E7-6804A0E34BF5}"/>
            </a:ext>
          </a:extLst>
        </xdr:cNvPr>
        <xdr:cNvSpPr txBox="1"/>
      </xdr:nvSpPr>
      <xdr:spPr>
        <a:xfrm>
          <a:off x="352425" y="285751"/>
          <a:ext cx="8858250" cy="2524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cs-CZ" sz="3200" b="1" cap="small">
              <a:solidFill>
                <a:srgbClr val="FF0000"/>
              </a:solidFill>
              <a:latin typeface="Arial Black" panose="020B0A04020102020204" pitchFamily="34" charset="0"/>
            </a:rPr>
            <a:t>Než začnete tento formulář vyplňovat, pozorně si prosím prostudujte</a:t>
          </a:r>
          <a:r>
            <a:rPr lang="cs-CZ" sz="3200" b="1" cap="small" baseline="0">
              <a:solidFill>
                <a:srgbClr val="FF0000"/>
              </a:solidFill>
              <a:latin typeface="Arial Black" panose="020B0A04020102020204" pitchFamily="34" charset="0"/>
            </a:rPr>
            <a:t> </a:t>
          </a:r>
        </a:p>
        <a:p>
          <a:pPr algn="ctr"/>
          <a:r>
            <a:rPr lang="cs-CZ" sz="3200" b="1" cap="small" baseline="0">
              <a:solidFill>
                <a:srgbClr val="FF0000"/>
              </a:solidFill>
              <a:latin typeface="Arial Black" panose="020B0A04020102020204" pitchFamily="34" charset="0"/>
            </a:rPr>
            <a:t>Pokyny k vyplnění!</a:t>
          </a:r>
          <a:endParaRPr lang="cs-CZ" sz="3200" b="1" cap="small">
            <a:solidFill>
              <a:srgbClr val="FF0000"/>
            </a:solidFill>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215888</xdr:colOff>
      <xdr:row>13</xdr:row>
      <xdr:rowOff>121932</xdr:rowOff>
    </xdr:from>
    <xdr:to>
      <xdr:col>2</xdr:col>
      <xdr:colOff>4081785</xdr:colOff>
      <xdr:row>26</xdr:row>
      <xdr:rowOff>222673</xdr:rowOff>
    </xdr:to>
    <xdr:sp macro="" textlink="">
      <xdr:nvSpPr>
        <xdr:cNvPr id="2" name="TextovéPole 1">
          <a:extLst>
            <a:ext uri="{FF2B5EF4-FFF2-40B4-BE49-F238E27FC236}">
              <a16:creationId xmlns:a16="http://schemas.microsoft.com/office/drawing/2014/main" id="{6F52F6D1-4782-4F0B-85CF-B08DB4F92137}"/>
            </a:ext>
          </a:extLst>
        </xdr:cNvPr>
        <xdr:cNvSpPr txBox="1"/>
      </xdr:nvSpPr>
      <xdr:spPr>
        <a:xfrm rot="19506576">
          <a:off x="434963" y="2607957"/>
          <a:ext cx="5951872" cy="27677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cs-CZ" sz="2400">
              <a:solidFill>
                <a:schemeClr val="accent1">
                  <a:lumMod val="50000"/>
                </a:schemeClr>
              </a:solidFill>
            </a:rPr>
            <a:t>Tento vzor</a:t>
          </a:r>
          <a:r>
            <a:rPr lang="cs-CZ" sz="2400" baseline="0">
              <a:solidFill>
                <a:schemeClr val="accent1">
                  <a:lumMod val="50000"/>
                </a:schemeClr>
              </a:solidFill>
            </a:rPr>
            <a:t> není nijak právně závazný pro identifikaci jednotlivých zpracování. Příklady v něm uvedené jsou ilustrativní a záměrně nevychází ze žádného existujícího právního předpisu. </a:t>
          </a:r>
          <a:endParaRPr lang="cs-CZ" sz="2400">
            <a:solidFill>
              <a:schemeClr val="accent1">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168260</xdr:colOff>
      <xdr:row>8</xdr:row>
      <xdr:rowOff>180974</xdr:rowOff>
    </xdr:from>
    <xdr:to>
      <xdr:col>2</xdr:col>
      <xdr:colOff>4034157</xdr:colOff>
      <xdr:row>20</xdr:row>
      <xdr:rowOff>91215</xdr:rowOff>
    </xdr:to>
    <xdr:sp macro="" textlink="">
      <xdr:nvSpPr>
        <xdr:cNvPr id="2" name="TextovéPole 1">
          <a:extLst>
            <a:ext uri="{FF2B5EF4-FFF2-40B4-BE49-F238E27FC236}">
              <a16:creationId xmlns:a16="http://schemas.microsoft.com/office/drawing/2014/main" id="{06A8A05C-1EDC-421F-BD83-70D9B3A73AB5}"/>
            </a:ext>
          </a:extLst>
        </xdr:cNvPr>
        <xdr:cNvSpPr txBox="1"/>
      </xdr:nvSpPr>
      <xdr:spPr>
        <a:xfrm rot="19506576">
          <a:off x="387335" y="1714499"/>
          <a:ext cx="5951872" cy="27677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cs-CZ" sz="2400">
              <a:solidFill>
                <a:schemeClr val="accent1">
                  <a:lumMod val="50000"/>
                </a:schemeClr>
              </a:solidFill>
            </a:rPr>
            <a:t>Tento vzor</a:t>
          </a:r>
          <a:r>
            <a:rPr lang="cs-CZ" sz="2400" baseline="0">
              <a:solidFill>
                <a:schemeClr val="accent1">
                  <a:lumMod val="50000"/>
                </a:schemeClr>
              </a:solidFill>
            </a:rPr>
            <a:t> není nijak právně závazný pro identifikaci jednotlivých zpracování. Příklady v něm uvedené jsou ilustrativní a záměrně nevychází ze žádného existujícího právního předpisu. </a:t>
          </a:r>
          <a:endParaRPr lang="cs-CZ" sz="2400">
            <a:solidFill>
              <a:schemeClr val="accent1">
                <a:lumMod val="50000"/>
              </a:schemeClr>
            </a:solidFill>
          </a:endParaRPr>
        </a:p>
      </xdr:txBody>
    </xdr:sp>
    <xdr:clientData/>
  </xdr:twoCellAnchor>
</xdr:wsDr>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jobezretny@prvnihlidaci.com" TargetMode="External"/><Relationship Id="rId1" Type="http://schemas.openxmlformats.org/officeDocument/2006/relationships/hyperlink" Target="mailto:m.svanda@zk.cz"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m.pracovita@zk.cz"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34" sqref="C34"/>
    </sheetView>
  </sheetViews>
  <sheetFormatPr defaultColWidth="9.140625" defaultRowHeight="15"/>
  <cols>
    <col min="1" max="16384" width="9.140625" style="25"/>
  </cols>
  <sheetData/>
  <sheetProtection password="D15B" sheet="1" objects="1" scenarios="1" selectLockedCells="1" selectUnlockedCells="1"/>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
  <sheetViews>
    <sheetView topLeftCell="A43" zoomScaleNormal="100" workbookViewId="0">
      <selection activeCell="F26" sqref="F26"/>
    </sheetView>
  </sheetViews>
  <sheetFormatPr defaultColWidth="9.140625" defaultRowHeight="15"/>
  <cols>
    <col min="1" max="1" width="3.28515625" style="6" customWidth="1"/>
    <col min="2" max="2" width="6.42578125" style="39" customWidth="1"/>
    <col min="3" max="3" width="31.28515625" style="21" customWidth="1"/>
    <col min="4" max="4" width="81.85546875" style="32" customWidth="1"/>
    <col min="5" max="16384" width="9.140625" style="6"/>
  </cols>
  <sheetData>
    <row r="1" spans="1:4">
      <c r="B1" s="33"/>
      <c r="C1" s="17"/>
      <c r="D1" s="26"/>
    </row>
    <row r="2" spans="1:4" ht="21">
      <c r="B2" s="44" t="s">
        <v>171</v>
      </c>
      <c r="C2" s="42"/>
      <c r="D2" s="43"/>
    </row>
    <row r="3" spans="1:4">
      <c r="B3" s="33"/>
      <c r="C3" s="17"/>
      <c r="D3" s="26"/>
    </row>
    <row r="4" spans="1:4" ht="96" customHeight="1">
      <c r="B4" s="51" t="s">
        <v>172</v>
      </c>
      <c r="C4" s="52"/>
      <c r="D4" s="53"/>
    </row>
    <row r="5" spans="1:4">
      <c r="B5" s="33"/>
      <c r="C5" s="17"/>
      <c r="D5" s="26"/>
    </row>
    <row r="6" spans="1:4" ht="68.25" customHeight="1">
      <c r="B6" s="54" t="s">
        <v>173</v>
      </c>
      <c r="C6" s="55"/>
      <c r="D6" s="56"/>
    </row>
    <row r="7" spans="1:4">
      <c r="B7" s="33"/>
      <c r="C7" s="17"/>
      <c r="D7" s="26"/>
    </row>
    <row r="8" spans="1:4" ht="21">
      <c r="B8" s="57" t="s">
        <v>174</v>
      </c>
      <c r="C8" s="58"/>
      <c r="D8" s="59"/>
    </row>
    <row r="9" spans="1:4" s="39" customFormat="1">
      <c r="A9" s="40"/>
      <c r="B9" s="41" t="s">
        <v>76</v>
      </c>
      <c r="C9" s="41" t="s">
        <v>77</v>
      </c>
      <c r="D9" s="41" t="s">
        <v>110</v>
      </c>
    </row>
    <row r="10" spans="1:4" s="39" customFormat="1">
      <c r="A10" s="40"/>
      <c r="B10" s="41" t="s">
        <v>81</v>
      </c>
      <c r="C10" s="18" t="s">
        <v>1</v>
      </c>
      <c r="D10" s="27" t="s">
        <v>219</v>
      </c>
    </row>
    <row r="11" spans="1:4" s="39" customFormat="1">
      <c r="A11" s="40"/>
      <c r="B11" s="41" t="s">
        <v>176</v>
      </c>
      <c r="C11" s="18" t="s">
        <v>3</v>
      </c>
      <c r="D11" s="27" t="s">
        <v>185</v>
      </c>
    </row>
    <row r="12" spans="1:4" s="39" customFormat="1">
      <c r="A12" s="40"/>
      <c r="B12" s="41" t="s">
        <v>177</v>
      </c>
      <c r="C12" s="18" t="s">
        <v>4</v>
      </c>
      <c r="D12" s="27" t="s">
        <v>186</v>
      </c>
    </row>
    <row r="13" spans="1:4" s="39" customFormat="1" ht="24">
      <c r="A13" s="40"/>
      <c r="B13" s="41" t="s">
        <v>178</v>
      </c>
      <c r="C13" s="18" t="s">
        <v>6</v>
      </c>
      <c r="D13" s="27" t="s">
        <v>218</v>
      </c>
    </row>
    <row r="14" spans="1:4" s="39" customFormat="1" ht="30">
      <c r="A14" s="40"/>
      <c r="B14" s="41" t="s">
        <v>179</v>
      </c>
      <c r="C14" s="45" t="s">
        <v>9</v>
      </c>
      <c r="D14" s="27" t="s">
        <v>187</v>
      </c>
    </row>
    <row r="15" spans="1:4" s="39" customFormat="1">
      <c r="A15" s="40"/>
      <c r="B15" s="41" t="s">
        <v>180</v>
      </c>
      <c r="C15" s="18" t="s">
        <v>13</v>
      </c>
      <c r="D15" s="27" t="s">
        <v>220</v>
      </c>
    </row>
    <row r="16" spans="1:4" s="39" customFormat="1">
      <c r="A16" s="40"/>
      <c r="B16" s="41" t="s">
        <v>181</v>
      </c>
      <c r="C16" s="18" t="s">
        <v>11</v>
      </c>
      <c r="D16" s="27" t="s">
        <v>221</v>
      </c>
    </row>
    <row r="17" spans="1:4" s="39" customFormat="1" ht="30">
      <c r="A17" s="40"/>
      <c r="B17" s="41" t="s">
        <v>182</v>
      </c>
      <c r="C17" s="45" t="s">
        <v>12</v>
      </c>
      <c r="D17" s="27" t="s">
        <v>188</v>
      </c>
    </row>
    <row r="18" spans="1:4" s="39" customFormat="1">
      <c r="A18" s="40"/>
      <c r="B18" s="41" t="s">
        <v>183</v>
      </c>
      <c r="C18" s="18" t="s">
        <v>13</v>
      </c>
      <c r="D18" s="27" t="s">
        <v>222</v>
      </c>
    </row>
    <row r="19" spans="1:4" s="39" customFormat="1">
      <c r="A19" s="40"/>
      <c r="B19" s="41" t="s">
        <v>184</v>
      </c>
      <c r="C19" s="18" t="s">
        <v>11</v>
      </c>
      <c r="D19" s="27" t="s">
        <v>223</v>
      </c>
    </row>
    <row r="20" spans="1:4">
      <c r="B20" s="33"/>
      <c r="C20" s="17"/>
      <c r="D20" s="26"/>
    </row>
    <row r="21" spans="1:4" ht="21">
      <c r="B21" s="57" t="s">
        <v>175</v>
      </c>
      <c r="C21" s="58"/>
      <c r="D21" s="59"/>
    </row>
    <row r="22" spans="1:4" s="39" customFormat="1">
      <c r="A22" s="40"/>
      <c r="B22" s="41" t="s">
        <v>76</v>
      </c>
      <c r="C22" s="41" t="s">
        <v>77</v>
      </c>
      <c r="D22" s="41" t="s">
        <v>110</v>
      </c>
    </row>
    <row r="23" spans="1:4" ht="36">
      <c r="A23" s="9"/>
      <c r="B23" s="34" t="s">
        <v>78</v>
      </c>
      <c r="C23" s="18" t="s">
        <v>5</v>
      </c>
      <c r="D23" s="27" t="s">
        <v>224</v>
      </c>
    </row>
    <row r="24" spans="1:4" ht="24">
      <c r="A24" s="9"/>
      <c r="B24" s="34" t="s">
        <v>79</v>
      </c>
      <c r="C24" s="18" t="s">
        <v>20</v>
      </c>
      <c r="D24" s="27" t="s">
        <v>225</v>
      </c>
    </row>
    <row r="25" spans="1:4" ht="36">
      <c r="A25" s="9"/>
      <c r="B25" s="34" t="s">
        <v>80</v>
      </c>
      <c r="C25" s="18" t="s">
        <v>14</v>
      </c>
      <c r="D25" s="27" t="s">
        <v>226</v>
      </c>
    </row>
    <row r="26" spans="1:4" ht="24">
      <c r="A26" s="9"/>
      <c r="B26" s="34" t="s">
        <v>81</v>
      </c>
      <c r="C26" s="18" t="s">
        <v>15</v>
      </c>
      <c r="D26" s="27" t="s">
        <v>247</v>
      </c>
    </row>
    <row r="27" spans="1:4" ht="36">
      <c r="A27" s="9"/>
      <c r="B27" s="34" t="s">
        <v>82</v>
      </c>
      <c r="C27" s="18" t="s">
        <v>33</v>
      </c>
      <c r="D27" s="27" t="s">
        <v>227</v>
      </c>
    </row>
    <row r="28" spans="1:4">
      <c r="A28" s="9"/>
      <c r="B28" s="34" t="s">
        <v>83</v>
      </c>
      <c r="C28" s="18" t="s">
        <v>34</v>
      </c>
      <c r="D28" s="27" t="s">
        <v>108</v>
      </c>
    </row>
    <row r="29" spans="1:4">
      <c r="A29" s="9"/>
      <c r="B29" s="34" t="s">
        <v>84</v>
      </c>
      <c r="C29" s="18" t="s">
        <v>35</v>
      </c>
      <c r="D29" s="27" t="s">
        <v>109</v>
      </c>
    </row>
    <row r="30" spans="1:4" ht="60">
      <c r="A30" s="9"/>
      <c r="B30" s="34" t="s">
        <v>85</v>
      </c>
      <c r="C30" s="18" t="s">
        <v>44</v>
      </c>
      <c r="D30" s="27" t="s">
        <v>248</v>
      </c>
    </row>
    <row r="31" spans="1:4" ht="111.75" customHeight="1">
      <c r="A31" s="9"/>
      <c r="B31" s="34" t="s">
        <v>86</v>
      </c>
      <c r="C31" s="18" t="s">
        <v>45</v>
      </c>
      <c r="D31" s="27" t="s">
        <v>250</v>
      </c>
    </row>
    <row r="32" spans="1:4">
      <c r="B32" s="35"/>
      <c r="C32" s="19"/>
      <c r="D32" s="28"/>
    </row>
    <row r="33" spans="1:4" ht="50.25" customHeight="1">
      <c r="A33" s="9"/>
      <c r="B33" s="36" t="s">
        <v>87</v>
      </c>
      <c r="C33" s="18" t="s">
        <v>28</v>
      </c>
      <c r="D33" s="29" t="s">
        <v>249</v>
      </c>
    </row>
    <row r="34" spans="1:4" ht="24">
      <c r="A34" s="9"/>
      <c r="B34" s="34" t="s">
        <v>88</v>
      </c>
      <c r="C34" s="18" t="s">
        <v>32</v>
      </c>
      <c r="D34" s="27" t="s">
        <v>111</v>
      </c>
    </row>
    <row r="35" spans="1:4" ht="63.75" customHeight="1">
      <c r="A35" s="9"/>
      <c r="B35" s="36" t="s">
        <v>89</v>
      </c>
      <c r="C35" s="18" t="s">
        <v>40</v>
      </c>
      <c r="D35" s="27" t="s">
        <v>228</v>
      </c>
    </row>
    <row r="36" spans="1:4" ht="61.5" customHeight="1">
      <c r="A36" s="9"/>
      <c r="B36" s="34" t="s">
        <v>90</v>
      </c>
      <c r="C36" s="18" t="s">
        <v>36</v>
      </c>
      <c r="D36" s="27" t="s">
        <v>112</v>
      </c>
    </row>
    <row r="37" spans="1:4" ht="110.25" customHeight="1">
      <c r="A37" s="9"/>
      <c r="B37" s="36" t="s">
        <v>91</v>
      </c>
      <c r="C37" s="18" t="s">
        <v>56</v>
      </c>
      <c r="D37" s="27" t="s">
        <v>113</v>
      </c>
    </row>
    <row r="38" spans="1:4" ht="108">
      <c r="A38" s="9"/>
      <c r="B38" s="34" t="s">
        <v>92</v>
      </c>
      <c r="C38" s="18" t="s">
        <v>29</v>
      </c>
      <c r="D38" s="27" t="s">
        <v>229</v>
      </c>
    </row>
    <row r="39" spans="1:4" ht="204">
      <c r="A39" s="9"/>
      <c r="B39" s="36" t="s">
        <v>93</v>
      </c>
      <c r="C39" s="18" t="s">
        <v>47</v>
      </c>
      <c r="D39" s="27" t="s">
        <v>114</v>
      </c>
    </row>
    <row r="40" spans="1:4" ht="252">
      <c r="A40" s="9"/>
      <c r="B40" s="34" t="s">
        <v>94</v>
      </c>
      <c r="C40" s="18" t="s">
        <v>30</v>
      </c>
      <c r="D40" s="27" t="s">
        <v>115</v>
      </c>
    </row>
    <row r="41" spans="1:4">
      <c r="A41" s="9"/>
      <c r="B41" s="36" t="s">
        <v>95</v>
      </c>
      <c r="C41" s="18" t="s">
        <v>64</v>
      </c>
      <c r="D41" s="27" t="s">
        <v>116</v>
      </c>
    </row>
    <row r="42" spans="1:4" ht="204">
      <c r="A42" s="9"/>
      <c r="B42" s="34" t="s">
        <v>96</v>
      </c>
      <c r="C42" s="18" t="s">
        <v>47</v>
      </c>
      <c r="D42" s="27" t="s">
        <v>120</v>
      </c>
    </row>
    <row r="43" spans="1:4" ht="96">
      <c r="A43" s="9"/>
      <c r="B43" s="36" t="s">
        <v>97</v>
      </c>
      <c r="C43" s="18" t="s">
        <v>31</v>
      </c>
      <c r="D43" s="27" t="s">
        <v>251</v>
      </c>
    </row>
    <row r="44" spans="1:4" ht="108">
      <c r="A44" s="9"/>
      <c r="B44" s="34" t="s">
        <v>98</v>
      </c>
      <c r="C44" s="24" t="s">
        <v>48</v>
      </c>
      <c r="D44" s="27" t="s">
        <v>117</v>
      </c>
    </row>
    <row r="45" spans="1:4" ht="24">
      <c r="A45" s="9"/>
      <c r="B45" s="36" t="s">
        <v>99</v>
      </c>
      <c r="C45" s="24" t="s">
        <v>49</v>
      </c>
      <c r="D45" s="27" t="s">
        <v>118</v>
      </c>
    </row>
    <row r="46" spans="1:4">
      <c r="A46" s="9"/>
      <c r="B46" s="34" t="s">
        <v>100</v>
      </c>
      <c r="C46" s="24" t="s">
        <v>53</v>
      </c>
      <c r="D46" s="27" t="s">
        <v>119</v>
      </c>
    </row>
    <row r="47" spans="1:4" ht="84">
      <c r="A47" s="9"/>
      <c r="B47" s="36" t="s">
        <v>101</v>
      </c>
      <c r="C47" s="24" t="s">
        <v>60</v>
      </c>
      <c r="D47" s="27" t="s">
        <v>230</v>
      </c>
    </row>
    <row r="48" spans="1:4" ht="36">
      <c r="A48" s="9"/>
      <c r="B48" s="34" t="s">
        <v>102</v>
      </c>
      <c r="C48" s="18" t="s">
        <v>61</v>
      </c>
      <c r="D48" s="27" t="s">
        <v>231</v>
      </c>
    </row>
    <row r="49" spans="1:4" ht="36">
      <c r="A49" s="9"/>
      <c r="B49" s="36" t="s">
        <v>103</v>
      </c>
      <c r="C49" s="18" t="s">
        <v>51</v>
      </c>
      <c r="D49" s="27" t="s">
        <v>232</v>
      </c>
    </row>
    <row r="50" spans="1:4" ht="60">
      <c r="A50" s="9"/>
      <c r="B50" s="34" t="s">
        <v>104</v>
      </c>
      <c r="C50" s="18" t="s">
        <v>52</v>
      </c>
      <c r="D50" s="27" t="s">
        <v>233</v>
      </c>
    </row>
    <row r="51" spans="1:4" ht="84">
      <c r="A51" s="9"/>
      <c r="B51" s="36" t="s">
        <v>105</v>
      </c>
      <c r="C51" s="18" t="s">
        <v>62</v>
      </c>
      <c r="D51" s="27" t="s">
        <v>121</v>
      </c>
    </row>
    <row r="52" spans="1:4">
      <c r="A52" s="9"/>
      <c r="B52" s="34" t="s">
        <v>106</v>
      </c>
      <c r="C52" s="18" t="s">
        <v>63</v>
      </c>
      <c r="D52" s="27" t="s">
        <v>122</v>
      </c>
    </row>
    <row r="53" spans="1:4" ht="84">
      <c r="A53" s="9"/>
      <c r="B53" s="36" t="s">
        <v>107</v>
      </c>
      <c r="C53" s="18" t="s">
        <v>46</v>
      </c>
      <c r="D53" s="27" t="s">
        <v>234</v>
      </c>
    </row>
    <row r="54" spans="1:4" ht="6.75" customHeight="1">
      <c r="B54" s="35"/>
      <c r="C54" s="19"/>
      <c r="D54" s="28"/>
    </row>
    <row r="55" spans="1:4" ht="60">
      <c r="A55" s="9"/>
      <c r="B55" s="37" t="s">
        <v>123</v>
      </c>
      <c r="C55" s="18" t="s">
        <v>16</v>
      </c>
      <c r="D55" s="30" t="s">
        <v>235</v>
      </c>
    </row>
    <row r="56" spans="1:4" ht="24">
      <c r="A56" s="9"/>
      <c r="B56" s="38" t="s">
        <v>124</v>
      </c>
      <c r="C56" s="20" t="s">
        <v>65</v>
      </c>
      <c r="D56" s="31" t="s">
        <v>237</v>
      </c>
    </row>
    <row r="57" spans="1:4" ht="6.75" customHeight="1">
      <c r="B57" s="35"/>
      <c r="C57" s="19"/>
      <c r="D57" s="28"/>
    </row>
    <row r="58" spans="1:4">
      <c r="B58" s="35"/>
      <c r="C58" s="18" t="s">
        <v>66</v>
      </c>
      <c r="D58" s="28"/>
    </row>
    <row r="59" spans="1:4">
      <c r="A59" s="9"/>
      <c r="B59" s="34" t="s">
        <v>153</v>
      </c>
      <c r="C59" s="18" t="s">
        <v>67</v>
      </c>
      <c r="D59" s="27" t="s">
        <v>132</v>
      </c>
    </row>
    <row r="60" spans="1:4">
      <c r="A60" s="9"/>
      <c r="B60" s="34" t="s">
        <v>125</v>
      </c>
      <c r="C60" s="18" t="s">
        <v>3</v>
      </c>
      <c r="D60" s="27" t="s">
        <v>132</v>
      </c>
    </row>
    <row r="61" spans="1:4">
      <c r="A61" s="9"/>
      <c r="B61" s="34" t="s">
        <v>126</v>
      </c>
      <c r="C61" s="18" t="s">
        <v>4</v>
      </c>
      <c r="D61" s="27" t="s">
        <v>132</v>
      </c>
    </row>
    <row r="62" spans="1:4" ht="24">
      <c r="A62" s="9"/>
      <c r="B62" s="34" t="s">
        <v>127</v>
      </c>
      <c r="C62" s="18" t="s">
        <v>68</v>
      </c>
      <c r="D62" s="27" t="s">
        <v>236</v>
      </c>
    </row>
    <row r="63" spans="1:4">
      <c r="A63" s="9"/>
      <c r="B63" s="34" t="s">
        <v>128</v>
      </c>
      <c r="C63" s="18" t="s">
        <v>69</v>
      </c>
      <c r="D63" s="27" t="s">
        <v>134</v>
      </c>
    </row>
    <row r="64" spans="1:4">
      <c r="A64" s="9"/>
      <c r="B64" s="34" t="s">
        <v>129</v>
      </c>
      <c r="C64" s="18" t="s">
        <v>70</v>
      </c>
      <c r="D64" s="27" t="s">
        <v>135</v>
      </c>
    </row>
    <row r="65" spans="1:4">
      <c r="A65" s="9"/>
      <c r="B65" s="34" t="s">
        <v>130</v>
      </c>
      <c r="C65" s="18" t="s">
        <v>71</v>
      </c>
      <c r="D65" s="27" t="s">
        <v>133</v>
      </c>
    </row>
    <row r="66" spans="1:4">
      <c r="A66" s="9"/>
      <c r="B66" s="34" t="s">
        <v>131</v>
      </c>
      <c r="C66" s="18" t="s">
        <v>136</v>
      </c>
      <c r="D66" s="27" t="s">
        <v>137</v>
      </c>
    </row>
    <row r="67" spans="1:4" ht="6.75" customHeight="1">
      <c r="B67" s="35"/>
      <c r="C67" s="19"/>
      <c r="D67" s="28"/>
    </row>
    <row r="68" spans="1:4">
      <c r="B68" s="35"/>
      <c r="C68" s="18" t="s">
        <v>72</v>
      </c>
      <c r="D68" s="28"/>
    </row>
    <row r="69" spans="1:4">
      <c r="A69" s="9"/>
      <c r="B69" s="34" t="s">
        <v>138</v>
      </c>
      <c r="C69" s="18" t="s">
        <v>67</v>
      </c>
      <c r="D69" s="27" t="s">
        <v>132</v>
      </c>
    </row>
    <row r="70" spans="1:4">
      <c r="A70" s="9"/>
      <c r="B70" s="34" t="s">
        <v>139</v>
      </c>
      <c r="C70" s="18" t="s">
        <v>3</v>
      </c>
      <c r="D70" s="27" t="s">
        <v>132</v>
      </c>
    </row>
    <row r="71" spans="1:4">
      <c r="A71" s="9"/>
      <c r="B71" s="34" t="s">
        <v>140</v>
      </c>
      <c r="C71" s="18" t="s">
        <v>4</v>
      </c>
      <c r="D71" s="27" t="s">
        <v>132</v>
      </c>
    </row>
    <row r="72" spans="1:4" ht="24">
      <c r="A72" s="9"/>
      <c r="B72" s="34" t="s">
        <v>141</v>
      </c>
      <c r="C72" s="18" t="s">
        <v>68</v>
      </c>
      <c r="D72" s="27" t="s">
        <v>236</v>
      </c>
    </row>
    <row r="73" spans="1:4">
      <c r="A73" s="9"/>
      <c r="B73" s="34" t="s">
        <v>142</v>
      </c>
      <c r="C73" s="18" t="s">
        <v>69</v>
      </c>
      <c r="D73" s="27" t="s">
        <v>134</v>
      </c>
    </row>
    <row r="74" spans="1:4">
      <c r="A74" s="9"/>
      <c r="B74" s="34" t="s">
        <v>143</v>
      </c>
      <c r="C74" s="18" t="s">
        <v>70</v>
      </c>
      <c r="D74" s="27" t="s">
        <v>135</v>
      </c>
    </row>
    <row r="75" spans="1:4">
      <c r="A75" s="9"/>
      <c r="B75" s="34" t="s">
        <v>144</v>
      </c>
      <c r="C75" s="18" t="s">
        <v>71</v>
      </c>
      <c r="D75" s="27" t="s">
        <v>133</v>
      </c>
    </row>
    <row r="76" spans="1:4">
      <c r="A76" s="9"/>
      <c r="B76" s="34" t="s">
        <v>145</v>
      </c>
      <c r="C76" s="18" t="s">
        <v>136</v>
      </c>
      <c r="D76" s="27" t="s">
        <v>137</v>
      </c>
    </row>
    <row r="77" spans="1:4" ht="6.75" customHeight="1">
      <c r="B77" s="35"/>
      <c r="C77" s="19"/>
      <c r="D77" s="28"/>
    </row>
    <row r="78" spans="1:4">
      <c r="B78" s="35"/>
      <c r="C78" s="18" t="s">
        <v>73</v>
      </c>
      <c r="D78" s="28"/>
    </row>
    <row r="79" spans="1:4">
      <c r="A79" s="9"/>
      <c r="B79" s="34" t="s">
        <v>146</v>
      </c>
      <c r="C79" s="18" t="s">
        <v>67</v>
      </c>
      <c r="D79" s="27" t="s">
        <v>132</v>
      </c>
    </row>
    <row r="80" spans="1:4">
      <c r="A80" s="9"/>
      <c r="B80" s="34" t="s">
        <v>147</v>
      </c>
      <c r="C80" s="18" t="s">
        <v>3</v>
      </c>
      <c r="D80" s="27" t="s">
        <v>132</v>
      </c>
    </row>
    <row r="81" spans="1:4">
      <c r="A81" s="9"/>
      <c r="B81" s="34" t="s">
        <v>148</v>
      </c>
      <c r="C81" s="18" t="s">
        <v>4</v>
      </c>
      <c r="D81" s="27" t="s">
        <v>132</v>
      </c>
    </row>
    <row r="82" spans="1:4" ht="24">
      <c r="A82" s="9"/>
      <c r="B82" s="34" t="s">
        <v>149</v>
      </c>
      <c r="C82" s="18" t="s">
        <v>68</v>
      </c>
      <c r="D82" s="27" t="s">
        <v>236</v>
      </c>
    </row>
    <row r="83" spans="1:4">
      <c r="A83" s="9"/>
      <c r="B83" s="34" t="s">
        <v>150</v>
      </c>
      <c r="C83" s="18" t="s">
        <v>69</v>
      </c>
      <c r="D83" s="27" t="s">
        <v>134</v>
      </c>
    </row>
    <row r="84" spans="1:4">
      <c r="A84" s="9"/>
      <c r="B84" s="34" t="s">
        <v>151</v>
      </c>
      <c r="C84" s="18" t="s">
        <v>70</v>
      </c>
      <c r="D84" s="27" t="s">
        <v>135</v>
      </c>
    </row>
    <row r="85" spans="1:4">
      <c r="A85" s="9"/>
      <c r="B85" s="34" t="s">
        <v>152</v>
      </c>
      <c r="C85" s="18" t="s">
        <v>71</v>
      </c>
      <c r="D85" s="27" t="s">
        <v>133</v>
      </c>
    </row>
    <row r="86" spans="1:4">
      <c r="A86" s="9"/>
      <c r="B86" s="34" t="s">
        <v>154</v>
      </c>
      <c r="C86" s="18" t="s">
        <v>136</v>
      </c>
      <c r="D86" s="27" t="s">
        <v>137</v>
      </c>
    </row>
    <row r="87" spans="1:4" ht="6.75" customHeight="1">
      <c r="B87" s="35"/>
      <c r="C87" s="19"/>
      <c r="D87" s="28"/>
    </row>
    <row r="88" spans="1:4">
      <c r="B88" s="35"/>
      <c r="C88" s="18" t="s">
        <v>74</v>
      </c>
      <c r="D88" s="28"/>
    </row>
    <row r="89" spans="1:4">
      <c r="A89" s="9"/>
      <c r="B89" s="34" t="s">
        <v>155</v>
      </c>
      <c r="C89" s="18" t="s">
        <v>67</v>
      </c>
      <c r="D89" s="27" t="s">
        <v>132</v>
      </c>
    </row>
    <row r="90" spans="1:4">
      <c r="A90" s="9"/>
      <c r="B90" s="34" t="s">
        <v>156</v>
      </c>
      <c r="C90" s="18" t="s">
        <v>3</v>
      </c>
      <c r="D90" s="27" t="s">
        <v>132</v>
      </c>
    </row>
    <row r="91" spans="1:4">
      <c r="A91" s="9"/>
      <c r="B91" s="34" t="s">
        <v>157</v>
      </c>
      <c r="C91" s="18" t="s">
        <v>4</v>
      </c>
      <c r="D91" s="27" t="s">
        <v>132</v>
      </c>
    </row>
    <row r="92" spans="1:4" ht="24">
      <c r="A92" s="9"/>
      <c r="B92" s="34" t="s">
        <v>158</v>
      </c>
      <c r="C92" s="18" t="s">
        <v>68</v>
      </c>
      <c r="D92" s="27" t="s">
        <v>236</v>
      </c>
    </row>
    <row r="93" spans="1:4">
      <c r="A93" s="9"/>
      <c r="B93" s="34" t="s">
        <v>159</v>
      </c>
      <c r="C93" s="18" t="s">
        <v>69</v>
      </c>
      <c r="D93" s="27" t="s">
        <v>134</v>
      </c>
    </row>
    <row r="94" spans="1:4">
      <c r="A94" s="9"/>
      <c r="B94" s="34" t="s">
        <v>160</v>
      </c>
      <c r="C94" s="18" t="s">
        <v>70</v>
      </c>
      <c r="D94" s="27" t="s">
        <v>135</v>
      </c>
    </row>
    <row r="95" spans="1:4">
      <c r="A95" s="9"/>
      <c r="B95" s="34" t="s">
        <v>161</v>
      </c>
      <c r="C95" s="18" t="s">
        <v>71</v>
      </c>
      <c r="D95" s="27" t="s">
        <v>133</v>
      </c>
    </row>
    <row r="96" spans="1:4">
      <c r="A96" s="9"/>
      <c r="B96" s="34" t="s">
        <v>162</v>
      </c>
      <c r="C96" s="18" t="s">
        <v>136</v>
      </c>
      <c r="D96" s="27" t="s">
        <v>137</v>
      </c>
    </row>
    <row r="97" spans="1:4" ht="6.75" customHeight="1">
      <c r="B97" s="35"/>
      <c r="C97" s="19"/>
      <c r="D97" s="28"/>
    </row>
    <row r="98" spans="1:4">
      <c r="B98" s="35"/>
      <c r="C98" s="18" t="s">
        <v>75</v>
      </c>
      <c r="D98" s="28"/>
    </row>
    <row r="99" spans="1:4">
      <c r="A99" s="9"/>
      <c r="B99" s="34" t="s">
        <v>163</v>
      </c>
      <c r="C99" s="18" t="s">
        <v>67</v>
      </c>
      <c r="D99" s="27" t="s">
        <v>132</v>
      </c>
    </row>
    <row r="100" spans="1:4">
      <c r="A100" s="9"/>
      <c r="B100" s="34" t="s">
        <v>164</v>
      </c>
      <c r="C100" s="18" t="s">
        <v>3</v>
      </c>
      <c r="D100" s="27" t="s">
        <v>132</v>
      </c>
    </row>
    <row r="101" spans="1:4">
      <c r="A101" s="9"/>
      <c r="B101" s="34" t="s">
        <v>165</v>
      </c>
      <c r="C101" s="18" t="s">
        <v>4</v>
      </c>
      <c r="D101" s="27" t="s">
        <v>132</v>
      </c>
    </row>
    <row r="102" spans="1:4" ht="24">
      <c r="A102" s="9"/>
      <c r="B102" s="34" t="s">
        <v>166</v>
      </c>
      <c r="C102" s="18" t="s">
        <v>68</v>
      </c>
      <c r="D102" s="27" t="s">
        <v>236</v>
      </c>
    </row>
    <row r="103" spans="1:4">
      <c r="A103" s="9"/>
      <c r="B103" s="34" t="s">
        <v>167</v>
      </c>
      <c r="C103" s="18" t="s">
        <v>69</v>
      </c>
      <c r="D103" s="27" t="s">
        <v>134</v>
      </c>
    </row>
    <row r="104" spans="1:4">
      <c r="A104" s="9"/>
      <c r="B104" s="34" t="s">
        <v>168</v>
      </c>
      <c r="C104" s="18" t="s">
        <v>70</v>
      </c>
      <c r="D104" s="27" t="s">
        <v>135</v>
      </c>
    </row>
    <row r="105" spans="1:4">
      <c r="A105" s="9"/>
      <c r="B105" s="34" t="s">
        <v>169</v>
      </c>
      <c r="C105" s="18" t="s">
        <v>71</v>
      </c>
      <c r="D105" s="27" t="s">
        <v>133</v>
      </c>
    </row>
    <row r="106" spans="1:4">
      <c r="A106" s="9"/>
      <c r="B106" s="34" t="s">
        <v>170</v>
      </c>
      <c r="C106" s="18" t="s">
        <v>136</v>
      </c>
      <c r="D106" s="27" t="s">
        <v>137</v>
      </c>
    </row>
  </sheetData>
  <mergeCells count="4">
    <mergeCell ref="B4:D4"/>
    <mergeCell ref="B6:D6"/>
    <mergeCell ref="B8:D8"/>
    <mergeCell ref="B21:D21"/>
  </mergeCells>
  <conditionalFormatting sqref="C59">
    <cfRule type="cellIs" dxfId="484" priority="498" operator="equal">
      <formula>" "</formula>
    </cfRule>
  </conditionalFormatting>
  <conditionalFormatting sqref="D62:D66 C60:C66">
    <cfRule type="cellIs" dxfId="483" priority="497" operator="equal">
      <formula>" "</formula>
    </cfRule>
  </conditionalFormatting>
  <conditionalFormatting sqref="C56">
    <cfRule type="cellIs" dxfId="482" priority="496" operator="equal">
      <formula>" "</formula>
    </cfRule>
  </conditionalFormatting>
  <conditionalFormatting sqref="C58">
    <cfRule type="cellIs" dxfId="481" priority="495" operator="equal">
      <formula>" "</formula>
    </cfRule>
  </conditionalFormatting>
  <conditionalFormatting sqref="D62:D66">
    <cfRule type="cellIs" dxfId="480" priority="489" operator="equal">
      <formula>" "</formula>
    </cfRule>
    <cfRule type="cellIs" dxfId="479" priority="494" operator="equal">
      <formula>" "</formula>
    </cfRule>
  </conditionalFormatting>
  <conditionalFormatting sqref="D62">
    <cfRule type="cellIs" dxfId="478" priority="492" operator="equal">
      <formula>" "</formula>
    </cfRule>
  </conditionalFormatting>
  <conditionalFormatting sqref="D63">
    <cfRule type="cellIs" dxfId="477" priority="491" operator="equal">
      <formula>" "</formula>
    </cfRule>
  </conditionalFormatting>
  <conditionalFormatting sqref="D64">
    <cfRule type="cellIs" dxfId="476" priority="490" operator="equal">
      <formula>" "</formula>
    </cfRule>
  </conditionalFormatting>
  <conditionalFormatting sqref="D56">
    <cfRule type="expression" dxfId="475" priority="488">
      <formula>$C$56="Počet zpracovatelů:"</formula>
    </cfRule>
  </conditionalFormatting>
  <conditionalFormatting sqref="D65">
    <cfRule type="expression" dxfId="474" priority="487">
      <formula>$C$65="Smlouva o zpracování OÚ:"</formula>
    </cfRule>
  </conditionalFormatting>
  <conditionalFormatting sqref="C68">
    <cfRule type="cellIs" dxfId="473" priority="484" operator="equal">
      <formula>" "</formula>
    </cfRule>
  </conditionalFormatting>
  <conditionalFormatting sqref="C78">
    <cfRule type="cellIs" dxfId="472" priority="474" operator="equal">
      <formula>" "</formula>
    </cfRule>
  </conditionalFormatting>
  <conditionalFormatting sqref="C88">
    <cfRule type="cellIs" dxfId="471" priority="463" operator="equal">
      <formula>" "</formula>
    </cfRule>
  </conditionalFormatting>
  <conditionalFormatting sqref="D60">
    <cfRule type="cellIs" dxfId="470" priority="436" operator="equal">
      <formula>" "</formula>
    </cfRule>
  </conditionalFormatting>
  <conditionalFormatting sqref="C98">
    <cfRule type="cellIs" dxfId="469" priority="452" operator="equal">
      <formula>" "</formula>
    </cfRule>
  </conditionalFormatting>
  <conditionalFormatting sqref="B102">
    <cfRule type="cellIs" dxfId="468" priority="371" operator="equal">
      <formula>" "</formula>
    </cfRule>
  </conditionalFormatting>
  <conditionalFormatting sqref="D59">
    <cfRule type="cellIs" dxfId="467" priority="439" operator="equal">
      <formula>" "</formula>
    </cfRule>
  </conditionalFormatting>
  <conditionalFormatting sqref="D60">
    <cfRule type="cellIs" dxfId="466" priority="438" operator="equal">
      <formula>" "</formula>
    </cfRule>
  </conditionalFormatting>
  <conditionalFormatting sqref="D59:D60">
    <cfRule type="cellIs" dxfId="465" priority="435" operator="equal">
      <formula>" "</formula>
    </cfRule>
    <cfRule type="cellIs" dxfId="464" priority="437" operator="equal">
      <formula>" "</formula>
    </cfRule>
  </conditionalFormatting>
  <conditionalFormatting sqref="C52">
    <cfRule type="expression" dxfId="463" priority="415">
      <formula>$D$51="NE"</formula>
    </cfRule>
  </conditionalFormatting>
  <conditionalFormatting sqref="B56">
    <cfRule type="expression" dxfId="462" priority="407">
      <formula>$C$56="Počet zpracovatelů:"</formula>
    </cfRule>
  </conditionalFormatting>
  <conditionalFormatting sqref="B69 B71 B73 B75">
    <cfRule type="cellIs" dxfId="461" priority="405" operator="equal">
      <formula>" "</formula>
    </cfRule>
  </conditionalFormatting>
  <conditionalFormatting sqref="B70 B72 B74 B76">
    <cfRule type="cellIs" dxfId="460" priority="404" operator="equal">
      <formula>" "</formula>
    </cfRule>
  </conditionalFormatting>
  <conditionalFormatting sqref="B69:B76">
    <cfRule type="cellIs" dxfId="459" priority="397" operator="equal">
      <formula>" "</formula>
    </cfRule>
    <cfRule type="cellIs" dxfId="458" priority="403" operator="equal">
      <formula>" "</formula>
    </cfRule>
  </conditionalFormatting>
  <conditionalFormatting sqref="B70 B72 B74 B76">
    <cfRule type="cellIs" dxfId="457" priority="402" operator="equal">
      <formula>" "</formula>
    </cfRule>
  </conditionalFormatting>
  <conditionalFormatting sqref="B79 B81 B83 B85">
    <cfRule type="cellIs" dxfId="456" priority="396" operator="equal">
      <formula>" "</formula>
    </cfRule>
  </conditionalFormatting>
  <conditionalFormatting sqref="B80:B86">
    <cfRule type="cellIs" dxfId="455" priority="395" operator="equal">
      <formula>" "</formula>
    </cfRule>
  </conditionalFormatting>
  <conditionalFormatting sqref="B79:B86">
    <cfRule type="cellIs" dxfId="454" priority="388" operator="equal">
      <formula>" "</formula>
    </cfRule>
    <cfRule type="cellIs" dxfId="453" priority="394" operator="equal">
      <formula>" "</formula>
    </cfRule>
  </conditionalFormatting>
  <conditionalFormatting sqref="B80 B82 B84 B86">
    <cfRule type="cellIs" dxfId="452" priority="393" operator="equal">
      <formula>" "</formula>
    </cfRule>
  </conditionalFormatting>
  <conditionalFormatting sqref="B81">
    <cfRule type="cellIs" dxfId="451" priority="392" operator="equal">
      <formula>" "</formula>
    </cfRule>
  </conditionalFormatting>
  <conditionalFormatting sqref="B82">
    <cfRule type="cellIs" dxfId="450" priority="391" operator="equal">
      <formula>" "</formula>
    </cfRule>
  </conditionalFormatting>
  <conditionalFormatting sqref="B83">
    <cfRule type="cellIs" dxfId="449" priority="390" operator="equal">
      <formula>" "</formula>
    </cfRule>
  </conditionalFormatting>
  <conditionalFormatting sqref="B84">
    <cfRule type="cellIs" dxfId="448" priority="389" operator="equal">
      <formula>" "</formula>
    </cfRule>
  </conditionalFormatting>
  <conditionalFormatting sqref="B85">
    <cfRule type="expression" dxfId="447" priority="387">
      <formula>$C$85="Smlouva o zpracování OÚ:"</formula>
    </cfRule>
  </conditionalFormatting>
  <conditionalFormatting sqref="B89 B91 B93 B95">
    <cfRule type="cellIs" dxfId="446" priority="386" operator="equal">
      <formula>" "</formula>
    </cfRule>
  </conditionalFormatting>
  <conditionalFormatting sqref="B90:B96">
    <cfRule type="cellIs" dxfId="445" priority="385" operator="equal">
      <formula>" "</formula>
    </cfRule>
  </conditionalFormatting>
  <conditionalFormatting sqref="B89:B96">
    <cfRule type="cellIs" dxfId="444" priority="378" operator="equal">
      <formula>" "</formula>
    </cfRule>
    <cfRule type="cellIs" dxfId="443" priority="384" operator="equal">
      <formula>" "</formula>
    </cfRule>
  </conditionalFormatting>
  <conditionalFormatting sqref="B90 B92 B94 B96">
    <cfRule type="cellIs" dxfId="442" priority="383" operator="equal">
      <formula>" "</formula>
    </cfRule>
  </conditionalFormatting>
  <conditionalFormatting sqref="B91">
    <cfRule type="cellIs" dxfId="441" priority="382" operator="equal">
      <formula>" "</formula>
    </cfRule>
  </conditionalFormatting>
  <conditionalFormatting sqref="B92">
    <cfRule type="cellIs" dxfId="440" priority="381" operator="equal">
      <formula>" "</formula>
    </cfRule>
  </conditionalFormatting>
  <conditionalFormatting sqref="B93">
    <cfRule type="cellIs" dxfId="439" priority="380" operator="equal">
      <formula>" "</formula>
    </cfRule>
  </conditionalFormatting>
  <conditionalFormatting sqref="B94">
    <cfRule type="cellIs" dxfId="438" priority="379" operator="equal">
      <formula>" "</formula>
    </cfRule>
  </conditionalFormatting>
  <conditionalFormatting sqref="B95">
    <cfRule type="expression" dxfId="437" priority="377">
      <formula>$C$95="Smlouva o zpracování OÚ:"</formula>
    </cfRule>
  </conditionalFormatting>
  <conditionalFormatting sqref="B99 B101 B103 B105">
    <cfRule type="cellIs" dxfId="436" priority="376" operator="equal">
      <formula>" "</formula>
    </cfRule>
  </conditionalFormatting>
  <conditionalFormatting sqref="B100:B106">
    <cfRule type="cellIs" dxfId="435" priority="375" operator="equal">
      <formula>" "</formula>
    </cfRule>
  </conditionalFormatting>
  <conditionalFormatting sqref="B99:B106">
    <cfRule type="cellIs" dxfId="434" priority="368" operator="equal">
      <formula>" "</formula>
    </cfRule>
    <cfRule type="cellIs" dxfId="433" priority="374" operator="equal">
      <formula>" "</formula>
    </cfRule>
  </conditionalFormatting>
  <conditionalFormatting sqref="B100 B102 B104 B106">
    <cfRule type="cellIs" dxfId="432" priority="373" operator="equal">
      <formula>" "</formula>
    </cfRule>
  </conditionalFormatting>
  <conditionalFormatting sqref="B101">
    <cfRule type="cellIs" dxfId="431" priority="372" operator="equal">
      <formula>" "</formula>
    </cfRule>
  </conditionalFormatting>
  <conditionalFormatting sqref="B103">
    <cfRule type="cellIs" dxfId="430" priority="370" operator="equal">
      <formula>" "</formula>
    </cfRule>
  </conditionalFormatting>
  <conditionalFormatting sqref="B104">
    <cfRule type="cellIs" dxfId="429" priority="369" operator="equal">
      <formula>" "</formula>
    </cfRule>
  </conditionalFormatting>
  <conditionalFormatting sqref="B105">
    <cfRule type="expression" dxfId="428" priority="367">
      <formula>$C$105="Smlouva o zpracování OÚ:"</formula>
    </cfRule>
  </conditionalFormatting>
  <conditionalFormatting sqref="B59 B61 B63 B65">
    <cfRule type="cellIs" dxfId="427" priority="362" operator="equal">
      <formula>" "</formula>
    </cfRule>
  </conditionalFormatting>
  <conditionalFormatting sqref="B60 B62 B64 B66">
    <cfRule type="cellIs" dxfId="426" priority="361" operator="equal">
      <formula>" "</formula>
    </cfRule>
  </conditionalFormatting>
  <conditionalFormatting sqref="B59:B66">
    <cfRule type="cellIs" dxfId="425" priority="358" operator="equal">
      <formula>" "</formula>
    </cfRule>
    <cfRule type="cellIs" dxfId="424" priority="360" operator="equal">
      <formula>" "</formula>
    </cfRule>
  </conditionalFormatting>
  <conditionalFormatting sqref="B60 B62 B64 B66">
    <cfRule type="cellIs" dxfId="423" priority="359" operator="equal">
      <formula>" "</formula>
    </cfRule>
  </conditionalFormatting>
  <conditionalFormatting sqref="D60">
    <cfRule type="cellIs" dxfId="422" priority="93" operator="equal">
      <formula>" "</formula>
    </cfRule>
  </conditionalFormatting>
  <conditionalFormatting sqref="D61">
    <cfRule type="cellIs" dxfId="421" priority="92" operator="equal">
      <formula>" "</formula>
    </cfRule>
  </conditionalFormatting>
  <conditionalFormatting sqref="D61">
    <cfRule type="cellIs" dxfId="420" priority="90" operator="equal">
      <formula>" "</formula>
    </cfRule>
    <cfRule type="cellIs" dxfId="419" priority="91" operator="equal">
      <formula>" "</formula>
    </cfRule>
  </conditionalFormatting>
  <conditionalFormatting sqref="D64">
    <cfRule type="cellIs" dxfId="418" priority="89" operator="equal">
      <formula>" "</formula>
    </cfRule>
  </conditionalFormatting>
  <conditionalFormatting sqref="C69">
    <cfRule type="cellIs" dxfId="417" priority="88" operator="equal">
      <formula>" "</formula>
    </cfRule>
  </conditionalFormatting>
  <conditionalFormatting sqref="D73:D76 C70:C76">
    <cfRule type="cellIs" dxfId="416" priority="87" operator="equal">
      <formula>" "</formula>
    </cfRule>
  </conditionalFormatting>
  <conditionalFormatting sqref="D73:D76">
    <cfRule type="cellIs" dxfId="415" priority="82" operator="equal">
      <formula>" "</formula>
    </cfRule>
    <cfRule type="cellIs" dxfId="414" priority="86" operator="equal">
      <formula>" "</formula>
    </cfRule>
  </conditionalFormatting>
  <conditionalFormatting sqref="D73">
    <cfRule type="cellIs" dxfId="413" priority="84" operator="equal">
      <formula>" "</formula>
    </cfRule>
  </conditionalFormatting>
  <conditionalFormatting sqref="D74">
    <cfRule type="cellIs" dxfId="412" priority="83" operator="equal">
      <formula>" "</formula>
    </cfRule>
  </conditionalFormatting>
  <conditionalFormatting sqref="D75">
    <cfRule type="expression" dxfId="411" priority="81">
      <formula>$C$65="Smlouva o zpracování OÚ:"</formula>
    </cfRule>
  </conditionalFormatting>
  <conditionalFormatting sqref="D69">
    <cfRule type="cellIs" dxfId="410" priority="80" operator="equal">
      <formula>" "</formula>
    </cfRule>
  </conditionalFormatting>
  <conditionalFormatting sqref="D70">
    <cfRule type="cellIs" dxfId="409" priority="79" operator="equal">
      <formula>" "</formula>
    </cfRule>
  </conditionalFormatting>
  <conditionalFormatting sqref="D69:D70">
    <cfRule type="cellIs" dxfId="408" priority="76" operator="equal">
      <formula>" "</formula>
    </cfRule>
    <cfRule type="cellIs" dxfId="407" priority="78" operator="equal">
      <formula>" "</formula>
    </cfRule>
  </conditionalFormatting>
  <conditionalFormatting sqref="D70">
    <cfRule type="cellIs" dxfId="406" priority="77" operator="equal">
      <formula>" "</formula>
    </cfRule>
  </conditionalFormatting>
  <conditionalFormatting sqref="D70">
    <cfRule type="cellIs" dxfId="405" priority="75" operator="equal">
      <formula>" "</formula>
    </cfRule>
  </conditionalFormatting>
  <conditionalFormatting sqref="D71">
    <cfRule type="cellIs" dxfId="404" priority="74" operator="equal">
      <formula>" "</formula>
    </cfRule>
  </conditionalFormatting>
  <conditionalFormatting sqref="D71">
    <cfRule type="cellIs" dxfId="403" priority="72" operator="equal">
      <formula>" "</formula>
    </cfRule>
    <cfRule type="cellIs" dxfId="402" priority="73" operator="equal">
      <formula>" "</formula>
    </cfRule>
  </conditionalFormatting>
  <conditionalFormatting sqref="D74">
    <cfRule type="cellIs" dxfId="401" priority="71" operator="equal">
      <formula>" "</formula>
    </cfRule>
  </conditionalFormatting>
  <conditionalFormatting sqref="C79">
    <cfRule type="cellIs" dxfId="400" priority="70" operator="equal">
      <formula>" "</formula>
    </cfRule>
  </conditionalFormatting>
  <conditionalFormatting sqref="D83:D86 C80:C86">
    <cfRule type="cellIs" dxfId="399" priority="69" operator="equal">
      <formula>" "</formula>
    </cfRule>
  </conditionalFormatting>
  <conditionalFormatting sqref="D83:D86">
    <cfRule type="cellIs" dxfId="398" priority="64" operator="equal">
      <formula>" "</formula>
    </cfRule>
    <cfRule type="cellIs" dxfId="397" priority="68" operator="equal">
      <formula>" "</formula>
    </cfRule>
  </conditionalFormatting>
  <conditionalFormatting sqref="D83">
    <cfRule type="cellIs" dxfId="396" priority="66" operator="equal">
      <formula>" "</formula>
    </cfRule>
  </conditionalFormatting>
  <conditionalFormatting sqref="D84">
    <cfRule type="cellIs" dxfId="395" priority="65" operator="equal">
      <formula>" "</formula>
    </cfRule>
  </conditionalFormatting>
  <conditionalFormatting sqref="D85">
    <cfRule type="expression" dxfId="394" priority="63">
      <formula>$C$65="Smlouva o zpracování OÚ:"</formula>
    </cfRule>
  </conditionalFormatting>
  <conditionalFormatting sqref="D79">
    <cfRule type="cellIs" dxfId="393" priority="62" operator="equal">
      <formula>" "</formula>
    </cfRule>
  </conditionalFormatting>
  <conditionalFormatting sqref="D80">
    <cfRule type="cellIs" dxfId="392" priority="61" operator="equal">
      <formula>" "</formula>
    </cfRule>
  </conditionalFormatting>
  <conditionalFormatting sqref="D79:D80">
    <cfRule type="cellIs" dxfId="391" priority="58" operator="equal">
      <formula>" "</formula>
    </cfRule>
    <cfRule type="cellIs" dxfId="390" priority="60" operator="equal">
      <formula>" "</formula>
    </cfRule>
  </conditionalFormatting>
  <conditionalFormatting sqref="D80">
    <cfRule type="cellIs" dxfId="389" priority="59" operator="equal">
      <formula>" "</formula>
    </cfRule>
  </conditionalFormatting>
  <conditionalFormatting sqref="D80">
    <cfRule type="cellIs" dxfId="388" priority="57" operator="equal">
      <formula>" "</formula>
    </cfRule>
  </conditionalFormatting>
  <conditionalFormatting sqref="D81">
    <cfRule type="cellIs" dxfId="387" priority="56" operator="equal">
      <formula>" "</formula>
    </cfRule>
  </conditionalFormatting>
  <conditionalFormatting sqref="D81">
    <cfRule type="cellIs" dxfId="386" priority="54" operator="equal">
      <formula>" "</formula>
    </cfRule>
    <cfRule type="cellIs" dxfId="385" priority="55" operator="equal">
      <formula>" "</formula>
    </cfRule>
  </conditionalFormatting>
  <conditionalFormatting sqref="D84">
    <cfRule type="cellIs" dxfId="384" priority="53" operator="equal">
      <formula>" "</formula>
    </cfRule>
  </conditionalFormatting>
  <conditionalFormatting sqref="C89">
    <cfRule type="cellIs" dxfId="383" priority="52" operator="equal">
      <formula>" "</formula>
    </cfRule>
  </conditionalFormatting>
  <conditionalFormatting sqref="D93:D96 C90:C96">
    <cfRule type="cellIs" dxfId="382" priority="51" operator="equal">
      <formula>" "</formula>
    </cfRule>
  </conditionalFormatting>
  <conditionalFormatting sqref="D93:D96">
    <cfRule type="cellIs" dxfId="381" priority="46" operator="equal">
      <formula>" "</formula>
    </cfRule>
    <cfRule type="cellIs" dxfId="380" priority="50" operator="equal">
      <formula>" "</formula>
    </cfRule>
  </conditionalFormatting>
  <conditionalFormatting sqref="D93">
    <cfRule type="cellIs" dxfId="379" priority="48" operator="equal">
      <formula>" "</formula>
    </cfRule>
  </conditionalFormatting>
  <conditionalFormatting sqref="D94">
    <cfRule type="cellIs" dxfId="378" priority="47" operator="equal">
      <formula>" "</formula>
    </cfRule>
  </conditionalFormatting>
  <conditionalFormatting sqref="D95">
    <cfRule type="expression" dxfId="377" priority="45">
      <formula>$C$65="Smlouva o zpracování OÚ:"</formula>
    </cfRule>
  </conditionalFormatting>
  <conditionalFormatting sqref="D89">
    <cfRule type="cellIs" dxfId="376" priority="44" operator="equal">
      <formula>" "</formula>
    </cfRule>
  </conditionalFormatting>
  <conditionalFormatting sqref="D90">
    <cfRule type="cellIs" dxfId="375" priority="43" operator="equal">
      <formula>" "</formula>
    </cfRule>
  </conditionalFormatting>
  <conditionalFormatting sqref="D89:D90">
    <cfRule type="cellIs" dxfId="374" priority="40" operator="equal">
      <formula>" "</formula>
    </cfRule>
    <cfRule type="cellIs" dxfId="373" priority="42" operator="equal">
      <formula>" "</formula>
    </cfRule>
  </conditionalFormatting>
  <conditionalFormatting sqref="D90">
    <cfRule type="cellIs" dxfId="372" priority="41" operator="equal">
      <formula>" "</formula>
    </cfRule>
  </conditionalFormatting>
  <conditionalFormatting sqref="D90">
    <cfRule type="cellIs" dxfId="371" priority="39" operator="equal">
      <formula>" "</formula>
    </cfRule>
  </conditionalFormatting>
  <conditionalFormatting sqref="D91">
    <cfRule type="cellIs" dxfId="370" priority="38" operator="equal">
      <formula>" "</formula>
    </cfRule>
  </conditionalFormatting>
  <conditionalFormatting sqref="D91">
    <cfRule type="cellIs" dxfId="369" priority="36" operator="equal">
      <formula>" "</formula>
    </cfRule>
    <cfRule type="cellIs" dxfId="368" priority="37" operator="equal">
      <formula>" "</formula>
    </cfRule>
  </conditionalFormatting>
  <conditionalFormatting sqref="D94">
    <cfRule type="cellIs" dxfId="367" priority="35" operator="equal">
      <formula>" "</formula>
    </cfRule>
  </conditionalFormatting>
  <conditionalFormatting sqref="C99">
    <cfRule type="cellIs" dxfId="366" priority="34" operator="equal">
      <formula>" "</formula>
    </cfRule>
  </conditionalFormatting>
  <conditionalFormatting sqref="D103:D106 C100:C106">
    <cfRule type="cellIs" dxfId="365" priority="33" operator="equal">
      <formula>" "</formula>
    </cfRule>
  </conditionalFormatting>
  <conditionalFormatting sqref="D103:D106">
    <cfRule type="cellIs" dxfId="364" priority="28" operator="equal">
      <formula>" "</formula>
    </cfRule>
    <cfRule type="cellIs" dxfId="363" priority="32" operator="equal">
      <formula>" "</formula>
    </cfRule>
  </conditionalFormatting>
  <conditionalFormatting sqref="D103">
    <cfRule type="cellIs" dxfId="362" priority="30" operator="equal">
      <formula>" "</formula>
    </cfRule>
  </conditionalFormatting>
  <conditionalFormatting sqref="D104">
    <cfRule type="cellIs" dxfId="361" priority="29" operator="equal">
      <formula>" "</formula>
    </cfRule>
  </conditionalFormatting>
  <conditionalFormatting sqref="D105">
    <cfRule type="expression" dxfId="360" priority="27">
      <formula>$C$65="Smlouva o zpracování OÚ:"</formula>
    </cfRule>
  </conditionalFormatting>
  <conditionalFormatting sqref="D99">
    <cfRule type="cellIs" dxfId="359" priority="26" operator="equal">
      <formula>" "</formula>
    </cfRule>
  </conditionalFormatting>
  <conditionalFormatting sqref="D100">
    <cfRule type="cellIs" dxfId="358" priority="25" operator="equal">
      <formula>" "</formula>
    </cfRule>
  </conditionalFormatting>
  <conditionalFormatting sqref="D99:D100">
    <cfRule type="cellIs" dxfId="357" priority="22" operator="equal">
      <formula>" "</formula>
    </cfRule>
    <cfRule type="cellIs" dxfId="356" priority="24" operator="equal">
      <formula>" "</formula>
    </cfRule>
  </conditionalFormatting>
  <conditionalFormatting sqref="D100">
    <cfRule type="cellIs" dxfId="355" priority="23" operator="equal">
      <formula>" "</formula>
    </cfRule>
  </conditionalFormatting>
  <conditionalFormatting sqref="D100">
    <cfRule type="cellIs" dxfId="354" priority="21" operator="equal">
      <formula>" "</formula>
    </cfRule>
  </conditionalFormatting>
  <conditionalFormatting sqref="D101">
    <cfRule type="cellIs" dxfId="353" priority="20" operator="equal">
      <formula>" "</formula>
    </cfRule>
  </conditionalFormatting>
  <conditionalFormatting sqref="D101">
    <cfRule type="cellIs" dxfId="352" priority="18" operator="equal">
      <formula>" "</formula>
    </cfRule>
    <cfRule type="cellIs" dxfId="351" priority="19" operator="equal">
      <formula>" "</formula>
    </cfRule>
  </conditionalFormatting>
  <conditionalFormatting sqref="D104">
    <cfRule type="cellIs" dxfId="350" priority="17" operator="equal">
      <formula>" "</formula>
    </cfRule>
  </conditionalFormatting>
  <conditionalFormatting sqref="D72">
    <cfRule type="cellIs" dxfId="349" priority="16" operator="equal">
      <formula>" "</formula>
    </cfRule>
  </conditionalFormatting>
  <conditionalFormatting sqref="D72">
    <cfRule type="cellIs" dxfId="348" priority="13" operator="equal">
      <formula>" "</formula>
    </cfRule>
    <cfRule type="cellIs" dxfId="347" priority="15" operator="equal">
      <formula>" "</formula>
    </cfRule>
  </conditionalFormatting>
  <conditionalFormatting sqref="D72">
    <cfRule type="cellIs" dxfId="346" priority="14" operator="equal">
      <formula>" "</formula>
    </cfRule>
  </conditionalFormatting>
  <conditionalFormatting sqref="D82">
    <cfRule type="cellIs" dxfId="345" priority="12" operator="equal">
      <formula>" "</formula>
    </cfRule>
  </conditionalFormatting>
  <conditionalFormatting sqref="D82">
    <cfRule type="cellIs" dxfId="344" priority="9" operator="equal">
      <formula>" "</formula>
    </cfRule>
    <cfRule type="cellIs" dxfId="343" priority="11" operator="equal">
      <formula>" "</formula>
    </cfRule>
  </conditionalFormatting>
  <conditionalFormatting sqref="D82">
    <cfRule type="cellIs" dxfId="342" priority="10" operator="equal">
      <formula>" "</formula>
    </cfRule>
  </conditionalFormatting>
  <conditionalFormatting sqref="D92">
    <cfRule type="cellIs" dxfId="341" priority="8" operator="equal">
      <formula>" "</formula>
    </cfRule>
  </conditionalFormatting>
  <conditionalFormatting sqref="D92">
    <cfRule type="cellIs" dxfId="340" priority="5" operator="equal">
      <formula>" "</formula>
    </cfRule>
    <cfRule type="cellIs" dxfId="339" priority="7" operator="equal">
      <formula>" "</formula>
    </cfRule>
  </conditionalFormatting>
  <conditionalFormatting sqref="D92">
    <cfRule type="cellIs" dxfId="338" priority="6" operator="equal">
      <formula>" "</formula>
    </cfRule>
  </conditionalFormatting>
  <conditionalFormatting sqref="D102">
    <cfRule type="cellIs" dxfId="337" priority="4" operator="equal">
      <formula>" "</formula>
    </cfRule>
  </conditionalFormatting>
  <conditionalFormatting sqref="D102">
    <cfRule type="cellIs" dxfId="336" priority="1" operator="equal">
      <formula>" "</formula>
    </cfRule>
    <cfRule type="cellIs" dxfId="335" priority="3" operator="equal">
      <formula>" "</formula>
    </cfRule>
  </conditionalFormatting>
  <conditionalFormatting sqref="D102">
    <cfRule type="cellIs" dxfId="334" priority="2" operator="equal">
      <formula>" "</formula>
    </cfRule>
  </conditionalFormatting>
  <dataValidations count="1">
    <dataValidation type="whole" allowBlank="1" showInputMessage="1" showErrorMessage="1" sqref="D67:D68 D77:D78 D87:D88 D97:D98 D57:D58" xr:uid="{00000000-0002-0000-0100-000000000000}">
      <formula1>1</formula1>
      <formula2>5</formula2>
    </dataValidation>
  </dataValidations>
  <pageMargins left="0.7" right="0.7" top="0.78740157499999996" bottom="0.78740157499999996" header="0.3" footer="0.3"/>
  <pageSetup paperSize="9" orientation="landscape" horizontalDpi="0" verticalDpi="0" r:id="rId1"/>
  <headerFooter>
    <oddFooter>&amp;CCopyright © 2017 by VIAVIS a.s.</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Data!$A$1:$A$2</xm:f>
          </x14:formula1>
          <xm:sqref>C10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7"/>
  <sheetViews>
    <sheetView zoomScaleNormal="100" workbookViewId="0">
      <selection activeCell="M7" sqref="M7"/>
    </sheetView>
  </sheetViews>
  <sheetFormatPr defaultColWidth="9.140625" defaultRowHeight="15"/>
  <cols>
    <col min="1" max="1" width="3.140625" style="1" customWidth="1"/>
    <col min="2" max="2" width="12.85546875" style="1" customWidth="1"/>
    <col min="3" max="3" width="9.85546875" style="1" customWidth="1"/>
    <col min="4" max="7" width="9.140625" style="1"/>
    <col min="8" max="8" width="11.42578125" style="1" customWidth="1"/>
    <col min="9" max="16384" width="9.140625" style="1"/>
  </cols>
  <sheetData>
    <row r="2" spans="2:8" ht="91.5" customHeight="1">
      <c r="B2" s="2"/>
      <c r="C2" s="2"/>
      <c r="D2" s="2"/>
      <c r="E2" s="2"/>
      <c r="F2" s="2"/>
      <c r="G2" s="2"/>
      <c r="H2" s="2"/>
    </row>
    <row r="3" spans="2:8" ht="21" customHeight="1">
      <c r="B3" s="4"/>
      <c r="C3" s="3" t="s">
        <v>0</v>
      </c>
      <c r="D3" s="4"/>
      <c r="E3" s="4"/>
      <c r="F3" s="4"/>
      <c r="G3" s="4"/>
      <c r="H3" s="4"/>
    </row>
    <row r="4" spans="2:8">
      <c r="B4" s="4"/>
      <c r="C4" s="4"/>
      <c r="D4" s="4"/>
      <c r="E4" s="4"/>
      <c r="F4" s="4"/>
      <c r="G4" s="4"/>
      <c r="H4" s="4"/>
    </row>
    <row r="5" spans="2:8" ht="15.75">
      <c r="B5" s="4" t="s">
        <v>1</v>
      </c>
      <c r="C5" s="7" t="s">
        <v>246</v>
      </c>
      <c r="D5" s="4"/>
      <c r="E5" s="4"/>
      <c r="F5" s="4"/>
      <c r="G5" s="4"/>
      <c r="H5" s="4"/>
    </row>
    <row r="6" spans="2:8">
      <c r="B6" s="4"/>
      <c r="C6" s="4" t="s">
        <v>3</v>
      </c>
      <c r="D6" s="5" t="s">
        <v>8</v>
      </c>
      <c r="E6" s="4"/>
      <c r="F6" s="4"/>
      <c r="G6" s="4"/>
      <c r="H6" s="4"/>
    </row>
    <row r="7" spans="2:8">
      <c r="B7" s="4"/>
      <c r="C7" s="4" t="s">
        <v>4</v>
      </c>
      <c r="D7" s="5"/>
      <c r="E7" s="4"/>
      <c r="F7" s="4"/>
      <c r="G7" s="4"/>
      <c r="H7" s="4"/>
    </row>
    <row r="8" spans="2:8">
      <c r="B8" s="4"/>
      <c r="C8" s="4" t="s">
        <v>6</v>
      </c>
      <c r="D8" s="5" t="s">
        <v>7</v>
      </c>
      <c r="E8" s="4"/>
      <c r="F8" s="4"/>
      <c r="G8" s="4"/>
      <c r="H8" s="4"/>
    </row>
    <row r="9" spans="2:8">
      <c r="B9" s="4"/>
      <c r="C9" s="8" t="s">
        <v>9</v>
      </c>
      <c r="D9" s="4"/>
      <c r="E9" s="4"/>
      <c r="F9" s="4"/>
      <c r="G9" s="4"/>
      <c r="H9" s="4"/>
    </row>
    <row r="10" spans="2:8">
      <c r="B10" s="4"/>
      <c r="C10" s="4"/>
      <c r="D10" s="5" t="s">
        <v>10</v>
      </c>
      <c r="E10" s="4"/>
      <c r="F10" s="4"/>
      <c r="G10" s="4"/>
      <c r="H10" s="4"/>
    </row>
    <row r="11" spans="2:8">
      <c r="B11" s="4"/>
      <c r="C11" s="4" t="s">
        <v>13</v>
      </c>
      <c r="D11" s="5"/>
      <c r="E11" s="4"/>
      <c r="F11" s="4"/>
      <c r="G11" s="4"/>
      <c r="H11" s="4"/>
    </row>
    <row r="12" spans="2:8">
      <c r="B12" s="4"/>
      <c r="C12" s="4" t="s">
        <v>11</v>
      </c>
      <c r="D12" s="5"/>
      <c r="E12" s="4"/>
      <c r="F12" s="4"/>
      <c r="G12" s="4"/>
      <c r="H12" s="4"/>
    </row>
    <row r="13" spans="2:8">
      <c r="B13" s="4"/>
      <c r="C13" s="8" t="s">
        <v>12</v>
      </c>
      <c r="D13" s="4"/>
      <c r="E13" s="4"/>
      <c r="F13" s="4"/>
      <c r="G13" s="4"/>
      <c r="H13" s="4"/>
    </row>
    <row r="14" spans="2:8">
      <c r="B14" s="4"/>
      <c r="C14" s="5"/>
      <c r="D14" s="5" t="s">
        <v>10</v>
      </c>
      <c r="E14" s="4"/>
      <c r="F14" s="4"/>
      <c r="G14" s="4"/>
      <c r="H14" s="4"/>
    </row>
    <row r="15" spans="2:8">
      <c r="B15" s="4"/>
      <c r="C15" s="4" t="s">
        <v>13</v>
      </c>
      <c r="D15" s="5"/>
      <c r="E15" s="4"/>
      <c r="F15" s="4"/>
      <c r="G15" s="4"/>
      <c r="H15" s="4"/>
    </row>
    <row r="16" spans="2:8">
      <c r="B16" s="4"/>
      <c r="C16" s="4" t="s">
        <v>11</v>
      </c>
      <c r="D16" s="5"/>
      <c r="E16" s="4"/>
      <c r="F16" s="4"/>
      <c r="G16" s="4"/>
      <c r="H16" s="4"/>
    </row>
    <row r="17" spans="2:8">
      <c r="B17" s="4"/>
      <c r="C17" s="4"/>
      <c r="D17" s="4"/>
      <c r="E17" s="4"/>
      <c r="F17" s="4"/>
      <c r="G17" s="4"/>
      <c r="H17" s="4"/>
    </row>
  </sheetData>
  <pageMargins left="0.7" right="0.7" top="0.78740157499999996" bottom="0.78740157499999996" header="0.3" footer="0.3"/>
  <pageSetup paperSize="9" orientation="portrait" horizontalDpi="0" verticalDpi="0" r:id="rId1"/>
  <headerFooter>
    <oddFooter>&amp;CCopyright © 2017 by VIAVIS a.s.</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Data!$A$1:$A$2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5"/>
  <sheetViews>
    <sheetView zoomScaleNormal="100" workbookViewId="0">
      <selection activeCell="G28" sqref="G28"/>
    </sheetView>
  </sheetViews>
  <sheetFormatPr defaultColWidth="9.140625" defaultRowHeight="15"/>
  <cols>
    <col min="1" max="1" width="3.28515625" style="6" customWidth="1"/>
    <col min="2" max="2" width="31.28515625" style="21" customWidth="1"/>
    <col min="3" max="3" width="65" style="6" customWidth="1"/>
    <col min="4" max="4" width="2.85546875" style="6" customWidth="1"/>
    <col min="5" max="16384" width="9.140625" style="6"/>
  </cols>
  <sheetData>
    <row r="1" spans="1:4">
      <c r="B1" s="17"/>
      <c r="C1" s="11"/>
    </row>
    <row r="2" spans="1:4" ht="15.75">
      <c r="A2" s="9"/>
      <c r="B2" s="18" t="s">
        <v>5</v>
      </c>
      <c r="C2" s="22" t="s">
        <v>189</v>
      </c>
      <c r="D2" s="10"/>
    </row>
    <row r="3" spans="1:4">
      <c r="A3" s="9"/>
      <c r="B3" s="18" t="s">
        <v>20</v>
      </c>
      <c r="C3" s="13" t="s">
        <v>190</v>
      </c>
      <c r="D3" s="10"/>
    </row>
    <row r="4" spans="1:4">
      <c r="A4" s="9"/>
      <c r="B4" s="18" t="s">
        <v>14</v>
      </c>
      <c r="C4" s="14" t="s">
        <v>191</v>
      </c>
      <c r="D4" s="10"/>
    </row>
    <row r="5" spans="1:4">
      <c r="A5" s="9"/>
      <c r="B5" s="18" t="s">
        <v>15</v>
      </c>
      <c r="C5" s="14"/>
      <c r="D5" s="10"/>
    </row>
    <row r="6" spans="1:4">
      <c r="A6" s="9"/>
      <c r="B6" s="18" t="s">
        <v>33</v>
      </c>
      <c r="C6" s="14" t="s">
        <v>192</v>
      </c>
      <c r="D6" s="10"/>
    </row>
    <row r="7" spans="1:4">
      <c r="A7" s="9"/>
      <c r="B7" s="18" t="s">
        <v>34</v>
      </c>
      <c r="C7" s="46" t="s">
        <v>193</v>
      </c>
      <c r="D7" s="10"/>
    </row>
    <row r="8" spans="1:4">
      <c r="A8" s="9"/>
      <c r="B8" s="18" t="s">
        <v>35</v>
      </c>
      <c r="C8" s="47" t="s">
        <v>194</v>
      </c>
      <c r="D8" s="10"/>
    </row>
    <row r="9" spans="1:4">
      <c r="A9" s="9"/>
      <c r="B9" s="18" t="s">
        <v>44</v>
      </c>
      <c r="C9" s="14" t="s">
        <v>195</v>
      </c>
      <c r="D9" s="10"/>
    </row>
    <row r="10" spans="1:4">
      <c r="A10" s="9"/>
      <c r="B10" s="18" t="s">
        <v>45</v>
      </c>
      <c r="C10" s="14" t="s">
        <v>238</v>
      </c>
      <c r="D10" s="10"/>
    </row>
    <row r="11" spans="1:4">
      <c r="B11" s="19"/>
      <c r="C11" s="12"/>
    </row>
    <row r="12" spans="1:4">
      <c r="A12" s="9"/>
      <c r="B12" s="18" t="s">
        <v>28</v>
      </c>
      <c r="C12" s="23">
        <v>1000</v>
      </c>
      <c r="D12" s="10"/>
    </row>
    <row r="13" spans="1:4">
      <c r="A13" s="9"/>
      <c r="B13" s="18" t="s">
        <v>32</v>
      </c>
      <c r="C13" s="14" t="s">
        <v>196</v>
      </c>
      <c r="D13" s="10"/>
    </row>
    <row r="14" spans="1:4">
      <c r="A14" s="9"/>
      <c r="B14" s="18" t="s">
        <v>40</v>
      </c>
      <c r="C14" s="14" t="s">
        <v>197</v>
      </c>
      <c r="D14" s="10"/>
    </row>
    <row r="15" spans="1:4">
      <c r="A15" s="9"/>
      <c r="B15" s="18" t="s">
        <v>36</v>
      </c>
      <c r="C15" s="14" t="s">
        <v>37</v>
      </c>
      <c r="D15" s="10"/>
    </row>
    <row r="16" spans="1:4">
      <c r="A16" s="9"/>
      <c r="B16" s="18" t="s">
        <v>56</v>
      </c>
      <c r="C16" s="14" t="s">
        <v>18</v>
      </c>
      <c r="D16" s="10"/>
    </row>
    <row r="17" spans="1:4">
      <c r="A17" s="9"/>
      <c r="B17" s="18" t="s">
        <v>29</v>
      </c>
      <c r="C17" s="14" t="s">
        <v>198</v>
      </c>
      <c r="D17" s="10"/>
    </row>
    <row r="18" spans="1:4">
      <c r="A18" s="9"/>
      <c r="B18" s="18" t="s">
        <v>47</v>
      </c>
      <c r="C18" s="14" t="s">
        <v>239</v>
      </c>
      <c r="D18" s="10"/>
    </row>
    <row r="19" spans="1:4">
      <c r="A19" s="9"/>
      <c r="B19" s="18" t="s">
        <v>30</v>
      </c>
      <c r="C19" s="14" t="s">
        <v>18</v>
      </c>
      <c r="D19" s="10"/>
    </row>
    <row r="20" spans="1:4">
      <c r="A20" s="9"/>
      <c r="B20" s="18" t="str">
        <f>IF(C19="ANO","      - jejich druh:","")</f>
        <v/>
      </c>
      <c r="C20" s="12"/>
      <c r="D20" s="10"/>
    </row>
    <row r="21" spans="1:4">
      <c r="A21" s="9"/>
      <c r="B21" s="18" t="str">
        <f>IF(C19="ANO","      - zákonnost zpracování:","")</f>
        <v/>
      </c>
      <c r="C21" s="12"/>
      <c r="D21" s="10"/>
    </row>
    <row r="22" spans="1:4">
      <c r="A22" s="9"/>
      <c r="B22" s="18" t="s">
        <v>31</v>
      </c>
      <c r="C22" s="14" t="s">
        <v>18</v>
      </c>
      <c r="D22" s="10"/>
    </row>
    <row r="23" spans="1:4" ht="30">
      <c r="A23" s="9"/>
      <c r="B23" s="24" t="s">
        <v>48</v>
      </c>
      <c r="C23" s="14" t="s">
        <v>199</v>
      </c>
      <c r="D23" s="10"/>
    </row>
    <row r="24" spans="1:4">
      <c r="A24" s="9"/>
      <c r="B24" s="24" t="s">
        <v>49</v>
      </c>
      <c r="C24" s="14" t="s">
        <v>240</v>
      </c>
      <c r="D24" s="10"/>
    </row>
    <row r="25" spans="1:4">
      <c r="A25" s="9"/>
      <c r="B25" s="24" t="s">
        <v>53</v>
      </c>
      <c r="C25" s="14" t="s">
        <v>18</v>
      </c>
      <c r="D25" s="10"/>
    </row>
    <row r="26" spans="1:4">
      <c r="A26" s="9"/>
      <c r="B26" s="24" t="s">
        <v>60</v>
      </c>
      <c r="C26" s="14" t="s">
        <v>200</v>
      </c>
      <c r="D26" s="10"/>
    </row>
    <row r="27" spans="1:4" ht="90">
      <c r="A27" s="9"/>
      <c r="B27" s="18" t="s">
        <v>61</v>
      </c>
      <c r="C27" s="14" t="s">
        <v>217</v>
      </c>
      <c r="D27" s="10"/>
    </row>
    <row r="28" spans="1:4">
      <c r="A28" s="9"/>
      <c r="B28" s="18" t="s">
        <v>51</v>
      </c>
      <c r="C28" s="14" t="s">
        <v>201</v>
      </c>
      <c r="D28" s="10"/>
    </row>
    <row r="29" spans="1:4">
      <c r="A29" s="9"/>
      <c r="B29" s="18" t="s">
        <v>52</v>
      </c>
      <c r="C29" s="14" t="s">
        <v>18</v>
      </c>
      <c r="D29" s="10"/>
    </row>
    <row r="30" spans="1:4">
      <c r="A30" s="9"/>
      <c r="B30" s="18" t="s">
        <v>62</v>
      </c>
      <c r="C30" s="14" t="s">
        <v>18</v>
      </c>
      <c r="D30" s="10"/>
    </row>
    <row r="31" spans="1:4">
      <c r="A31" s="9"/>
      <c r="B31" s="18" t="s">
        <v>63</v>
      </c>
      <c r="C31" s="14"/>
      <c r="D31" s="10"/>
    </row>
    <row r="32" spans="1:4">
      <c r="A32" s="9"/>
      <c r="B32" s="18" t="s">
        <v>46</v>
      </c>
      <c r="C32" s="14" t="s">
        <v>18</v>
      </c>
      <c r="D32" s="10"/>
    </row>
    <row r="33" spans="1:4" ht="6.75" customHeight="1">
      <c r="B33" s="19"/>
      <c r="C33" s="12"/>
    </row>
    <row r="34" spans="1:4">
      <c r="A34" s="9"/>
      <c r="B34" s="18" t="s">
        <v>16</v>
      </c>
      <c r="C34" s="15" t="s">
        <v>17</v>
      </c>
      <c r="D34" s="10"/>
    </row>
    <row r="35" spans="1:4">
      <c r="A35" s="9"/>
      <c r="B35" s="20" t="str">
        <f>IF(C34="ANO","Počet zpracovatelů:"," ")</f>
        <v>Počet zpracovatelů:</v>
      </c>
      <c r="C35" s="16">
        <v>1</v>
      </c>
      <c r="D35" s="10"/>
    </row>
    <row r="36" spans="1:4" ht="6.75" customHeight="1">
      <c r="B36" s="19"/>
      <c r="C36" s="12">
        <v>3</v>
      </c>
    </row>
    <row r="37" spans="1:4">
      <c r="B37" s="18" t="str">
        <f>IF(C35&gt;0,"ZPRACOVATEL 1"," ")</f>
        <v>ZPRACOVATEL 1</v>
      </c>
      <c r="C37" s="12"/>
    </row>
    <row r="38" spans="1:4">
      <c r="A38" s="9"/>
      <c r="B38" s="18" t="str">
        <f>IF(C35&gt;0,"Firma (název) zpracovatele:"," ")</f>
        <v>Firma (název) zpracovatele:</v>
      </c>
      <c r="C38" s="14" t="s">
        <v>202</v>
      </c>
      <c r="D38" s="10"/>
    </row>
    <row r="39" spans="1:4">
      <c r="A39" s="9"/>
      <c r="B39" s="18" t="str">
        <f>IF(C35&gt;0,"se sídlem:"," ")</f>
        <v>se sídlem:</v>
      </c>
      <c r="C39" s="14" t="s">
        <v>203</v>
      </c>
      <c r="D39" s="10"/>
    </row>
    <row r="40" spans="1:4">
      <c r="A40" s="9"/>
      <c r="B40" s="18" t="str">
        <f>IF(C35&gt;0,"IČ:"," ")</f>
        <v>IČ:</v>
      </c>
      <c r="C40" s="14">
        <v>25469874</v>
      </c>
      <c r="D40" s="10"/>
    </row>
    <row r="41" spans="1:4">
      <c r="A41" s="9"/>
      <c r="B41" s="18" t="str">
        <f>IF(C35&gt;0,"odpovědná osoba:"," ")</f>
        <v>odpovědná osoba:</v>
      </c>
      <c r="C41" s="14" t="s">
        <v>204</v>
      </c>
      <c r="D41" s="10"/>
    </row>
    <row r="42" spans="1:4">
      <c r="A42" s="9"/>
      <c r="B42" s="18" t="str">
        <f>IF(C35&gt;0,"e-mail:"," ")</f>
        <v>e-mail:</v>
      </c>
      <c r="C42" s="46" t="s">
        <v>205</v>
      </c>
      <c r="D42" s="10"/>
    </row>
    <row r="43" spans="1:4">
      <c r="A43" s="9"/>
      <c r="B43" s="18" t="str">
        <f>IF(C35&gt;0,"telefon:"," ")</f>
        <v>telefon:</v>
      </c>
      <c r="C43" s="47" t="s">
        <v>206</v>
      </c>
      <c r="D43" s="10"/>
    </row>
    <row r="44" spans="1:4">
      <c r="A44" s="9"/>
      <c r="B44" s="18" t="str">
        <f>IF(C35&gt;0,"Smlouva o zpracování OÚ:"," ")</f>
        <v>Smlouva o zpracování OÚ:</v>
      </c>
      <c r="C44" s="48" t="s">
        <v>23</v>
      </c>
      <c r="D44" s="10"/>
    </row>
    <row r="45" spans="1:4">
      <c r="A45" s="9"/>
      <c r="B45" s="18" t="str">
        <f>IF(AND(C35&gt;0,C44=Data!C5),"Právní předpis:"," ")</f>
        <v xml:space="preserve"> </v>
      </c>
      <c r="C45" s="14" t="str">
        <f>IF(B45=" "," ","")</f>
        <v xml:space="preserve"> </v>
      </c>
      <c r="D45" s="10"/>
    </row>
    <row r="46" spans="1:4" ht="6.75" customHeight="1">
      <c r="B46" s="19"/>
      <c r="C46" s="12">
        <v>3</v>
      </c>
    </row>
    <row r="47" spans="1:4">
      <c r="B47" s="18" t="str">
        <f>IF(C35&gt;1,"ZPRACOVATEL 2"," ")</f>
        <v xml:space="preserve"> </v>
      </c>
      <c r="C47" s="12"/>
    </row>
    <row r="48" spans="1:4">
      <c r="A48" s="9"/>
      <c r="B48" s="18" t="str">
        <f>IF(C35&gt;1,"Firma (název) zpracovatele:"," ")</f>
        <v xml:space="preserve"> </v>
      </c>
      <c r="C48" s="14" t="str">
        <f t="shared" ref="C48:C53" si="0">IF(B48=" "," ","")</f>
        <v xml:space="preserve"> </v>
      </c>
      <c r="D48" s="10"/>
    </row>
    <row r="49" spans="1:4">
      <c r="A49" s="9"/>
      <c r="B49" s="18" t="str">
        <f>IF(C35&gt;1,"se sídlem:"," ")</f>
        <v xml:space="preserve"> </v>
      </c>
      <c r="C49" s="14" t="str">
        <f t="shared" si="0"/>
        <v xml:space="preserve"> </v>
      </c>
      <c r="D49" s="10"/>
    </row>
    <row r="50" spans="1:4">
      <c r="A50" s="9"/>
      <c r="B50" s="18" t="str">
        <f>IF(C35&gt;1,"IČ:"," ")</f>
        <v xml:space="preserve"> </v>
      </c>
      <c r="C50" s="14" t="str">
        <f t="shared" si="0"/>
        <v xml:space="preserve"> </v>
      </c>
      <c r="D50" s="10"/>
    </row>
    <row r="51" spans="1:4">
      <c r="A51" s="9"/>
      <c r="B51" s="18" t="str">
        <f>IF(C35&gt;1,"odpovědná osoba:"," ")</f>
        <v xml:space="preserve"> </v>
      </c>
      <c r="C51" s="14" t="str">
        <f t="shared" si="0"/>
        <v xml:space="preserve"> </v>
      </c>
      <c r="D51" s="10"/>
    </row>
    <row r="52" spans="1:4">
      <c r="A52" s="9"/>
      <c r="B52" s="18" t="str">
        <f>IF(C35&gt;1,"e-mail:"," ")</f>
        <v xml:space="preserve"> </v>
      </c>
      <c r="C52" s="14" t="str">
        <f t="shared" si="0"/>
        <v xml:space="preserve"> </v>
      </c>
      <c r="D52" s="10"/>
    </row>
    <row r="53" spans="1:4">
      <c r="A53" s="9"/>
      <c r="B53" s="18" t="str">
        <f>IF(C35&gt;1,"telefon:"," ")</f>
        <v xml:space="preserve"> </v>
      </c>
      <c r="C53" s="14" t="str">
        <f t="shared" si="0"/>
        <v xml:space="preserve"> </v>
      </c>
      <c r="D53" s="10"/>
    </row>
    <row r="54" spans="1:4">
      <c r="A54" s="9"/>
      <c r="B54" s="18" t="str">
        <f>IF(C35&gt;1,"Smlouva o zpracování OÚ:"," ")</f>
        <v xml:space="preserve"> </v>
      </c>
      <c r="C54" s="14" t="s">
        <v>25</v>
      </c>
      <c r="D54" s="10"/>
    </row>
    <row r="55" spans="1:4">
      <c r="A55" s="9"/>
      <c r="B55" s="18" t="str">
        <f>IF(AND(C35&gt;1,C54=Data!C5),"Právní předpis:"," ")</f>
        <v xml:space="preserve"> </v>
      </c>
      <c r="C55" s="14" t="str">
        <f>IF(B55=" "," ","")</f>
        <v xml:space="preserve"> </v>
      </c>
      <c r="D55" s="10"/>
    </row>
    <row r="56" spans="1:4" ht="6.75" customHeight="1">
      <c r="B56" s="19"/>
      <c r="C56" s="12">
        <v>3</v>
      </c>
    </row>
    <row r="57" spans="1:4">
      <c r="B57" s="18" t="str">
        <f>IF(C35&gt;2,"ZPRACOVATEL 3"," ")</f>
        <v xml:space="preserve"> </v>
      </c>
      <c r="C57" s="12"/>
    </row>
    <row r="58" spans="1:4">
      <c r="A58" s="9"/>
      <c r="B58" s="18" t="str">
        <f>IF(C35&gt;2,"Firma (název) zpracovatele:"," ")</f>
        <v xml:space="preserve"> </v>
      </c>
      <c r="C58" s="14" t="str">
        <f t="shared" ref="C58:C63" si="1">IF(B58=" "," ","")</f>
        <v xml:space="preserve"> </v>
      </c>
      <c r="D58" s="10"/>
    </row>
    <row r="59" spans="1:4">
      <c r="A59" s="9"/>
      <c r="B59" s="18" t="str">
        <f>IF(C35&gt;2,"se sídlem:"," ")</f>
        <v xml:space="preserve"> </v>
      </c>
      <c r="C59" s="14" t="str">
        <f t="shared" si="1"/>
        <v xml:space="preserve"> </v>
      </c>
      <c r="D59" s="10"/>
    </row>
    <row r="60" spans="1:4">
      <c r="A60" s="9"/>
      <c r="B60" s="18" t="str">
        <f>IF(C35&gt;2,"IČ:"," ")</f>
        <v xml:space="preserve"> </v>
      </c>
      <c r="C60" s="14" t="str">
        <f t="shared" si="1"/>
        <v xml:space="preserve"> </v>
      </c>
      <c r="D60" s="10"/>
    </row>
    <row r="61" spans="1:4">
      <c r="A61" s="9"/>
      <c r="B61" s="18" t="str">
        <f>IF(C35&gt;2,"odpovědná osoba:"," ")</f>
        <v xml:space="preserve"> </v>
      </c>
      <c r="C61" s="14" t="str">
        <f t="shared" si="1"/>
        <v xml:space="preserve"> </v>
      </c>
      <c r="D61" s="10"/>
    </row>
    <row r="62" spans="1:4">
      <c r="A62" s="9"/>
      <c r="B62" s="18" t="str">
        <f>IF(C35&gt;2,"e-mail:"," ")</f>
        <v xml:space="preserve"> </v>
      </c>
      <c r="C62" s="14" t="str">
        <f t="shared" si="1"/>
        <v xml:space="preserve"> </v>
      </c>
      <c r="D62" s="10"/>
    </row>
    <row r="63" spans="1:4">
      <c r="A63" s="9"/>
      <c r="B63" s="18" t="str">
        <f>IF(C35&gt;2,"telefon:"," ")</f>
        <v xml:space="preserve"> </v>
      </c>
      <c r="C63" s="14" t="str">
        <f t="shared" si="1"/>
        <v xml:space="preserve"> </v>
      </c>
      <c r="D63" s="10"/>
    </row>
    <row r="64" spans="1:4">
      <c r="A64" s="9"/>
      <c r="B64" s="18" t="str">
        <f>IF(C35&gt;2,"Smlouva o zpracování OÚ:"," ")</f>
        <v xml:space="preserve"> </v>
      </c>
      <c r="C64" s="14" t="s">
        <v>25</v>
      </c>
      <c r="D64" s="10"/>
    </row>
    <row r="65" spans="1:4">
      <c r="A65" s="9"/>
      <c r="B65" s="18" t="str">
        <f>IF(AND(C35&gt;2,C64=Data!C5),"Právní předpis:"," ")</f>
        <v xml:space="preserve"> </v>
      </c>
      <c r="C65" s="14" t="str">
        <f>IF(B65=" "," ","")</f>
        <v xml:space="preserve"> </v>
      </c>
      <c r="D65" s="10"/>
    </row>
    <row r="66" spans="1:4" ht="6.75" customHeight="1">
      <c r="B66" s="19"/>
      <c r="C66" s="12">
        <v>3</v>
      </c>
    </row>
    <row r="67" spans="1:4">
      <c r="B67" s="18" t="str">
        <f>IF(C35&gt;3,"ZPRACOVATEL 4"," ")</f>
        <v xml:space="preserve"> </v>
      </c>
      <c r="C67" s="12"/>
    </row>
    <row r="68" spans="1:4">
      <c r="A68" s="9"/>
      <c r="B68" s="18" t="str">
        <f>IF(C35&gt;3,"Firma (název) zpracovatele:"," ")</f>
        <v xml:space="preserve"> </v>
      </c>
      <c r="C68" s="14" t="str">
        <f t="shared" ref="C68:C73" si="2">IF(B68=" "," ","")</f>
        <v xml:space="preserve"> </v>
      </c>
      <c r="D68" s="10"/>
    </row>
    <row r="69" spans="1:4">
      <c r="A69" s="9"/>
      <c r="B69" s="18" t="str">
        <f>IF(C35&gt;3,"se sídlem:"," ")</f>
        <v xml:space="preserve"> </v>
      </c>
      <c r="C69" s="14" t="str">
        <f t="shared" si="2"/>
        <v xml:space="preserve"> </v>
      </c>
      <c r="D69" s="10"/>
    </row>
    <row r="70" spans="1:4">
      <c r="A70" s="9"/>
      <c r="B70" s="18" t="str">
        <f>IF(C35&gt;3,"IČ:"," ")</f>
        <v xml:space="preserve"> </v>
      </c>
      <c r="C70" s="14" t="str">
        <f t="shared" si="2"/>
        <v xml:space="preserve"> </v>
      </c>
      <c r="D70" s="10"/>
    </row>
    <row r="71" spans="1:4">
      <c r="A71" s="9"/>
      <c r="B71" s="18" t="str">
        <f>IF(C35&gt;3,"odpovědná osoba:"," ")</f>
        <v xml:space="preserve"> </v>
      </c>
      <c r="C71" s="14" t="str">
        <f t="shared" si="2"/>
        <v xml:space="preserve"> </v>
      </c>
      <c r="D71" s="10"/>
    </row>
    <row r="72" spans="1:4">
      <c r="A72" s="9"/>
      <c r="B72" s="18" t="str">
        <f>IF(C35&gt;3,"e-mail:"," ")</f>
        <v xml:space="preserve"> </v>
      </c>
      <c r="C72" s="14" t="str">
        <f t="shared" si="2"/>
        <v xml:space="preserve"> </v>
      </c>
      <c r="D72" s="10"/>
    </row>
    <row r="73" spans="1:4">
      <c r="A73" s="9"/>
      <c r="B73" s="18" t="str">
        <f>IF(C35&gt;3,"telefon:"," ")</f>
        <v xml:space="preserve"> </v>
      </c>
      <c r="C73" s="14" t="str">
        <f t="shared" si="2"/>
        <v xml:space="preserve"> </v>
      </c>
      <c r="D73" s="10"/>
    </row>
    <row r="74" spans="1:4">
      <c r="A74" s="9"/>
      <c r="B74" s="18" t="str">
        <f>IF(C35&gt;3,"Smlouva o zpracování OÚ:"," ")</f>
        <v xml:space="preserve"> </v>
      </c>
      <c r="C74" s="14" t="s">
        <v>25</v>
      </c>
      <c r="D74" s="10"/>
    </row>
    <row r="75" spans="1:4">
      <c r="A75" s="9"/>
      <c r="B75" s="18" t="str">
        <f>IF(AND(C35&gt;3,C74=Data!C35),"Právní předpis:"," ")</f>
        <v xml:space="preserve"> </v>
      </c>
      <c r="C75" s="14" t="str">
        <f>IF(B75=" "," ","")</f>
        <v xml:space="preserve"> </v>
      </c>
      <c r="D75" s="10"/>
    </row>
    <row r="76" spans="1:4" ht="6.75" customHeight="1">
      <c r="B76" s="19"/>
      <c r="C76" s="12">
        <v>3</v>
      </c>
    </row>
    <row r="77" spans="1:4">
      <c r="B77" s="18" t="str">
        <f>IF(C35&gt;4,"ZPRACOVATEL 5"," ")</f>
        <v xml:space="preserve"> </v>
      </c>
      <c r="C77" s="12"/>
    </row>
    <row r="78" spans="1:4">
      <c r="A78" s="9"/>
      <c r="B78" s="18" t="str">
        <f>IF(C35&gt;4,"Firma (název) zpracovatele:"," ")</f>
        <v xml:space="preserve"> </v>
      </c>
      <c r="C78" s="14" t="str">
        <f t="shared" ref="C78:C83" si="3">IF(B78=" "," ","")</f>
        <v xml:space="preserve"> </v>
      </c>
      <c r="D78" s="10"/>
    </row>
    <row r="79" spans="1:4">
      <c r="A79" s="9"/>
      <c r="B79" s="18" t="str">
        <f>IF(C35&gt;4,"se sídlem:"," ")</f>
        <v xml:space="preserve"> </v>
      </c>
      <c r="C79" s="14" t="str">
        <f t="shared" si="3"/>
        <v xml:space="preserve"> </v>
      </c>
      <c r="D79" s="10"/>
    </row>
    <row r="80" spans="1:4">
      <c r="A80" s="9"/>
      <c r="B80" s="18" t="str">
        <f>IF(C35&gt;4,"IČ:"," ")</f>
        <v xml:space="preserve"> </v>
      </c>
      <c r="C80" s="14" t="str">
        <f t="shared" si="3"/>
        <v xml:space="preserve"> </v>
      </c>
      <c r="D80" s="10"/>
    </row>
    <row r="81" spans="1:4">
      <c r="A81" s="9"/>
      <c r="B81" s="18" t="str">
        <f>IF(C35&gt;4,"odpovědná osoba:"," ")</f>
        <v xml:space="preserve"> </v>
      </c>
      <c r="C81" s="14" t="str">
        <f t="shared" si="3"/>
        <v xml:space="preserve"> </v>
      </c>
      <c r="D81" s="10"/>
    </row>
    <row r="82" spans="1:4">
      <c r="A82" s="9"/>
      <c r="B82" s="18" t="str">
        <f>IF(C35&gt;4,"e-mail:"," ")</f>
        <v xml:space="preserve"> </v>
      </c>
      <c r="C82" s="14" t="str">
        <f t="shared" si="3"/>
        <v xml:space="preserve"> </v>
      </c>
      <c r="D82" s="10"/>
    </row>
    <row r="83" spans="1:4">
      <c r="A83" s="9"/>
      <c r="B83" s="18" t="str">
        <f>IF(C35&gt;4,"telefon:"," ")</f>
        <v xml:space="preserve"> </v>
      </c>
      <c r="C83" s="14" t="str">
        <f t="shared" si="3"/>
        <v xml:space="preserve"> </v>
      </c>
      <c r="D83" s="10"/>
    </row>
    <row r="84" spans="1:4">
      <c r="A84" s="9"/>
      <c r="B84" s="18" t="str">
        <f>IF(C35&gt;4,"Smlouva o zpracování OÚ:"," ")</f>
        <v xml:space="preserve"> </v>
      </c>
      <c r="C84" s="14" t="s">
        <v>25</v>
      </c>
      <c r="D84" s="10"/>
    </row>
    <row r="85" spans="1:4">
      <c r="A85" s="9"/>
      <c r="B85" s="18" t="str">
        <f>IF(AND(C35&gt;4,C84=Data!C45),"Právní předpis:"," ")</f>
        <v xml:space="preserve"> </v>
      </c>
      <c r="C85" s="14" t="str">
        <f>IF(B85=" "," ","")</f>
        <v xml:space="preserve"> </v>
      </c>
      <c r="D85" s="10"/>
    </row>
  </sheetData>
  <sheetProtection password="D15B" sheet="1" objects="1" scenarios="1" selectLockedCells="1" selectUnlockedCells="1"/>
  <conditionalFormatting sqref="B38">
    <cfRule type="cellIs" dxfId="333" priority="84" operator="equal">
      <formula>" "</formula>
    </cfRule>
  </conditionalFormatting>
  <conditionalFormatting sqref="B40:C42 B39 B44:C45 B43">
    <cfRule type="cellIs" dxfId="332" priority="83" operator="equal">
      <formula>" "</formula>
    </cfRule>
  </conditionalFormatting>
  <conditionalFormatting sqref="B35">
    <cfRule type="cellIs" dxfId="331" priority="82" operator="equal">
      <formula>" "</formula>
    </cfRule>
  </conditionalFormatting>
  <conditionalFormatting sqref="B37">
    <cfRule type="cellIs" dxfId="330" priority="81" operator="equal">
      <formula>" "</formula>
    </cfRule>
  </conditionalFormatting>
  <conditionalFormatting sqref="C40:C42 C44:C45">
    <cfRule type="cellIs" dxfId="329" priority="75" operator="equal">
      <formula>" "</formula>
    </cfRule>
    <cfRule type="cellIs" dxfId="328" priority="80" operator="equal">
      <formula>" "</formula>
    </cfRule>
  </conditionalFormatting>
  <conditionalFormatting sqref="C40">
    <cfRule type="cellIs" dxfId="327" priority="79" operator="equal">
      <formula>" "</formula>
    </cfRule>
  </conditionalFormatting>
  <conditionalFormatting sqref="C41">
    <cfRule type="cellIs" dxfId="326" priority="78" operator="equal">
      <formula>" "</formula>
    </cfRule>
  </conditionalFormatting>
  <conditionalFormatting sqref="C42">
    <cfRule type="cellIs" dxfId="325" priority="77" operator="equal">
      <formula>" "</formula>
    </cfRule>
  </conditionalFormatting>
  <conditionalFormatting sqref="C35">
    <cfRule type="expression" dxfId="324" priority="74">
      <formula>$B$35="Počet zpracovatelů:"</formula>
    </cfRule>
  </conditionalFormatting>
  <conditionalFormatting sqref="C44">
    <cfRule type="expression" dxfId="323" priority="73">
      <formula>$B$44="Smlouva o zpracování OÚ:"</formula>
    </cfRule>
  </conditionalFormatting>
  <conditionalFormatting sqref="B48:C48">
    <cfRule type="cellIs" dxfId="322" priority="72" operator="equal">
      <formula>" "</formula>
    </cfRule>
  </conditionalFormatting>
  <conditionalFormatting sqref="B49:C53 B55:C55 B54">
    <cfRule type="cellIs" dxfId="321" priority="71" operator="equal">
      <formula>" "</formula>
    </cfRule>
  </conditionalFormatting>
  <conditionalFormatting sqref="B47">
    <cfRule type="cellIs" dxfId="320" priority="70" operator="equal">
      <formula>" "</formula>
    </cfRule>
  </conditionalFormatting>
  <conditionalFormatting sqref="C48:C53 C55">
    <cfRule type="cellIs" dxfId="319" priority="63" operator="equal">
      <formula>" "</formula>
    </cfRule>
    <cfRule type="cellIs" dxfId="318" priority="69" operator="equal">
      <formula>" "</formula>
    </cfRule>
  </conditionalFormatting>
  <conditionalFormatting sqref="C49">
    <cfRule type="cellIs" dxfId="317" priority="68" operator="equal">
      <formula>" "</formula>
    </cfRule>
  </conditionalFormatting>
  <conditionalFormatting sqref="C50">
    <cfRule type="cellIs" dxfId="316" priority="67" operator="equal">
      <formula>" "</formula>
    </cfRule>
  </conditionalFormatting>
  <conditionalFormatting sqref="C51">
    <cfRule type="cellIs" dxfId="315" priority="66" operator="equal">
      <formula>" "</formula>
    </cfRule>
  </conditionalFormatting>
  <conditionalFormatting sqref="C52">
    <cfRule type="cellIs" dxfId="314" priority="65" operator="equal">
      <formula>" "</formula>
    </cfRule>
  </conditionalFormatting>
  <conditionalFormatting sqref="C53">
    <cfRule type="cellIs" dxfId="313" priority="64" operator="equal">
      <formula>" "</formula>
    </cfRule>
  </conditionalFormatting>
  <conditionalFormatting sqref="B58:C58">
    <cfRule type="cellIs" dxfId="312" priority="62" operator="equal">
      <formula>" "</formula>
    </cfRule>
  </conditionalFormatting>
  <conditionalFormatting sqref="B59:C65">
    <cfRule type="cellIs" dxfId="311" priority="61" operator="equal">
      <formula>" "</formula>
    </cfRule>
  </conditionalFormatting>
  <conditionalFormatting sqref="B57">
    <cfRule type="cellIs" dxfId="310" priority="60" operator="equal">
      <formula>" "</formula>
    </cfRule>
  </conditionalFormatting>
  <conditionalFormatting sqref="C58:C65">
    <cfRule type="cellIs" dxfId="309" priority="53" operator="equal">
      <formula>" "</formula>
    </cfRule>
    <cfRule type="cellIs" dxfId="308" priority="59" operator="equal">
      <formula>" "</formula>
    </cfRule>
  </conditionalFormatting>
  <conditionalFormatting sqref="C59">
    <cfRule type="cellIs" dxfId="307" priority="58" operator="equal">
      <formula>" "</formula>
    </cfRule>
  </conditionalFormatting>
  <conditionalFormatting sqref="C60">
    <cfRule type="cellIs" dxfId="306" priority="57" operator="equal">
      <formula>" "</formula>
    </cfRule>
  </conditionalFormatting>
  <conditionalFormatting sqref="C61">
    <cfRule type="cellIs" dxfId="305" priority="56" operator="equal">
      <formula>" "</formula>
    </cfRule>
  </conditionalFormatting>
  <conditionalFormatting sqref="C62">
    <cfRule type="cellIs" dxfId="304" priority="55" operator="equal">
      <formula>" "</formula>
    </cfRule>
  </conditionalFormatting>
  <conditionalFormatting sqref="C63">
    <cfRule type="cellIs" dxfId="303" priority="54" operator="equal">
      <formula>" "</formula>
    </cfRule>
  </conditionalFormatting>
  <conditionalFormatting sqref="C64">
    <cfRule type="expression" dxfId="302" priority="52">
      <formula>$B$64="Smlouva o zpracování OÚ:"</formula>
    </cfRule>
  </conditionalFormatting>
  <conditionalFormatting sqref="B68:C68">
    <cfRule type="cellIs" dxfId="301" priority="51" operator="equal">
      <formula>" "</formula>
    </cfRule>
  </conditionalFormatting>
  <conditionalFormatting sqref="B69:C75">
    <cfRule type="cellIs" dxfId="300" priority="50" operator="equal">
      <formula>" "</formula>
    </cfRule>
  </conditionalFormatting>
  <conditionalFormatting sqref="B67">
    <cfRule type="cellIs" dxfId="299" priority="49" operator="equal">
      <formula>" "</formula>
    </cfRule>
  </conditionalFormatting>
  <conditionalFormatting sqref="C68:C75">
    <cfRule type="cellIs" dxfId="298" priority="42" operator="equal">
      <formula>" "</formula>
    </cfRule>
    <cfRule type="cellIs" dxfId="297" priority="48" operator="equal">
      <formula>" "</formula>
    </cfRule>
  </conditionalFormatting>
  <conditionalFormatting sqref="C69">
    <cfRule type="cellIs" dxfId="296" priority="47" operator="equal">
      <formula>" "</formula>
    </cfRule>
  </conditionalFormatting>
  <conditionalFormatting sqref="C70">
    <cfRule type="cellIs" dxfId="295" priority="46" operator="equal">
      <formula>" "</formula>
    </cfRule>
  </conditionalFormatting>
  <conditionalFormatting sqref="C71">
    <cfRule type="cellIs" dxfId="294" priority="45" operator="equal">
      <formula>" "</formula>
    </cfRule>
  </conditionalFormatting>
  <conditionalFormatting sqref="C72">
    <cfRule type="cellIs" dxfId="293" priority="44" operator="equal">
      <formula>" "</formula>
    </cfRule>
  </conditionalFormatting>
  <conditionalFormatting sqref="C73">
    <cfRule type="cellIs" dxfId="292" priority="43" operator="equal">
      <formula>" "</formula>
    </cfRule>
  </conditionalFormatting>
  <conditionalFormatting sqref="C74">
    <cfRule type="expression" dxfId="291" priority="41">
      <formula>$B$74="Smlouva o zpracování OÚ:"</formula>
    </cfRule>
  </conditionalFormatting>
  <conditionalFormatting sqref="B78:C78">
    <cfRule type="cellIs" dxfId="290" priority="40" operator="equal">
      <formula>" "</formula>
    </cfRule>
  </conditionalFormatting>
  <conditionalFormatting sqref="B79:C85">
    <cfRule type="cellIs" dxfId="289" priority="39" operator="equal">
      <formula>" "</formula>
    </cfRule>
  </conditionalFormatting>
  <conditionalFormatting sqref="B77">
    <cfRule type="cellIs" dxfId="288" priority="38" operator="equal">
      <formula>" "</formula>
    </cfRule>
  </conditionalFormatting>
  <conditionalFormatting sqref="C78:C85">
    <cfRule type="cellIs" dxfId="287" priority="31" operator="equal">
      <formula>" "</formula>
    </cfRule>
    <cfRule type="cellIs" dxfId="286" priority="37" operator="equal">
      <formula>" "</formula>
    </cfRule>
  </conditionalFormatting>
  <conditionalFormatting sqref="C79">
    <cfRule type="cellIs" dxfId="285" priority="36" operator="equal">
      <formula>" "</formula>
    </cfRule>
  </conditionalFormatting>
  <conditionalFormatting sqref="C80">
    <cfRule type="cellIs" dxfId="284" priority="35" operator="equal">
      <formula>" "</formula>
    </cfRule>
  </conditionalFormatting>
  <conditionalFormatting sqref="C81">
    <cfRule type="cellIs" dxfId="283" priority="34" operator="equal">
      <formula>" "</formula>
    </cfRule>
  </conditionalFormatting>
  <conditionalFormatting sqref="C82">
    <cfRule type="cellIs" dxfId="282" priority="33" operator="equal">
      <formula>" "</formula>
    </cfRule>
  </conditionalFormatting>
  <conditionalFormatting sqref="C83">
    <cfRule type="cellIs" dxfId="281" priority="32" operator="equal">
      <formula>" "</formula>
    </cfRule>
  </conditionalFormatting>
  <conditionalFormatting sqref="C84">
    <cfRule type="expression" dxfId="280" priority="30">
      <formula>$B$84="Smlouva o zpracování OÚ:"</formula>
    </cfRule>
  </conditionalFormatting>
  <conditionalFormatting sqref="C54">
    <cfRule type="cellIs" dxfId="279" priority="29" operator="equal">
      <formula>" "</formula>
    </cfRule>
  </conditionalFormatting>
  <conditionalFormatting sqref="C54">
    <cfRule type="cellIs" dxfId="278" priority="27" operator="equal">
      <formula>" "</formula>
    </cfRule>
    <cfRule type="cellIs" dxfId="277" priority="28" operator="equal">
      <formula>" "</formula>
    </cfRule>
  </conditionalFormatting>
  <conditionalFormatting sqref="C54">
    <cfRule type="expression" dxfId="276" priority="26">
      <formula>$B$54="Smlouva o zpracování OÚ:"</formula>
    </cfRule>
  </conditionalFormatting>
  <conditionalFormatting sqref="C38">
    <cfRule type="cellIs" dxfId="275" priority="25" operator="equal">
      <formula>" "</formula>
    </cfRule>
  </conditionalFormatting>
  <conditionalFormatting sqref="C39">
    <cfRule type="cellIs" dxfId="274" priority="24" operator="equal">
      <formula>" "</formula>
    </cfRule>
  </conditionalFormatting>
  <conditionalFormatting sqref="C38:C39">
    <cfRule type="cellIs" dxfId="273" priority="21" operator="equal">
      <formula>" "</formula>
    </cfRule>
    <cfRule type="cellIs" dxfId="272" priority="23" operator="equal">
      <formula>" "</formula>
    </cfRule>
  </conditionalFormatting>
  <conditionalFormatting sqref="C39">
    <cfRule type="cellIs" dxfId="271" priority="22" operator="equal">
      <formula>" "</formula>
    </cfRule>
  </conditionalFormatting>
  <conditionalFormatting sqref="C22">
    <cfRule type="cellIs" dxfId="270" priority="19" operator="equal">
      <formula>"NEVÍM"</formula>
    </cfRule>
    <cfRule type="cellIs" dxfId="269" priority="20" operator="equal">
      <formula>"ANO"</formula>
    </cfRule>
  </conditionalFormatting>
  <conditionalFormatting sqref="C20">
    <cfRule type="expression" dxfId="268" priority="18">
      <formula>$B$20="      - jejich druh:"</formula>
    </cfRule>
  </conditionalFormatting>
  <conditionalFormatting sqref="C21">
    <cfRule type="expression" dxfId="267" priority="17">
      <formula>$B$20="      - jejich druh:"</formula>
    </cfRule>
  </conditionalFormatting>
  <conditionalFormatting sqref="C19">
    <cfRule type="cellIs" dxfId="266" priority="16" operator="equal">
      <formula>"NEVÍM"</formula>
    </cfRule>
  </conditionalFormatting>
  <conditionalFormatting sqref="C32">
    <cfRule type="cellIs" dxfId="265" priority="14" operator="equal">
      <formula>"NEVÍM"</formula>
    </cfRule>
    <cfRule type="cellIs" dxfId="264" priority="15" operator="equal">
      <formula>"ANO"</formula>
    </cfRule>
  </conditionalFormatting>
  <conditionalFormatting sqref="C29">
    <cfRule type="cellIs" dxfId="263" priority="12" operator="equal">
      <formula>"NEVÍM"</formula>
    </cfRule>
    <cfRule type="cellIs" dxfId="262" priority="13" operator="equal">
      <formula>"ANO"</formula>
    </cfRule>
  </conditionalFormatting>
  <conditionalFormatting sqref="C31">
    <cfRule type="expression" dxfId="261" priority="2">
      <formula>$C$30="NE"</formula>
    </cfRule>
  </conditionalFormatting>
  <conditionalFormatting sqref="B31">
    <cfRule type="expression" dxfId="260" priority="1">
      <formula>$C$30="NE"</formula>
    </cfRule>
  </conditionalFormatting>
  <dataValidations count="1">
    <dataValidation type="whole" allowBlank="1" showInputMessage="1" showErrorMessage="1" sqref="C46:C47 C56:C57 C66:C67 C76:C77 C35:C37" xr:uid="{00000000-0002-0000-0300-000000000000}">
      <formula1>1</formula1>
      <formula2>5</formula2>
    </dataValidation>
  </dataValidations>
  <hyperlinks>
    <hyperlink ref="C7" r:id="rId1" xr:uid="{00000000-0004-0000-0300-000000000000}"/>
    <hyperlink ref="C42" r:id="rId2" xr:uid="{00000000-0004-0000-0300-000001000000}"/>
  </hyperlinks>
  <pageMargins left="0.7" right="0.7" top="0.78740157499999996" bottom="0.78740157499999996" header="0.3" footer="0.3"/>
  <pageSetup paperSize="9" orientation="landscape" horizontalDpi="0" verticalDpi="0" r:id="rId3"/>
  <headerFooter>
    <oddFooter>&amp;CCopyright © 2017 by VIAVIS a.s.</oddFooter>
  </headerFooter>
  <drawing r:id="rId4"/>
  <legacyDrawing r:id="rId5"/>
  <extLst>
    <ext xmlns:x14="http://schemas.microsoft.com/office/spreadsheetml/2009/9/main" uri="{78C0D931-6437-407d-A8EE-F0AAD7539E65}">
      <x14:conditionalFormattings>
        <x14:conditionalFormatting xmlns:xm="http://schemas.microsoft.com/office/excel/2006/main">
          <x14:cfRule type="cellIs" priority="10" operator="equal" id="{317B287D-50F6-4383-A628-C5A4FF6C1496}">
            <xm:f>Data!$G$4</xm:f>
            <x14:dxf>
              <fill>
                <patternFill>
                  <bgColor rgb="FFFF0000"/>
                </patternFill>
              </fill>
            </x14:dxf>
          </x14:cfRule>
          <x14:cfRule type="cellIs" priority="11" operator="equal" id="{5771F066-1115-4DA8-9E80-6EDBA126BB3D}">
            <xm:f>Data!$G$3</xm:f>
            <x14:dxf>
              <fill>
                <patternFill>
                  <bgColor rgb="FFFF0000"/>
                </patternFill>
              </fill>
            </x14:dxf>
          </x14:cfRule>
          <xm:sqref>C25</xm:sqref>
        </x14:conditionalFormatting>
        <x14:conditionalFormatting xmlns:xm="http://schemas.microsoft.com/office/excel/2006/main">
          <x14:cfRule type="cellIs" priority="6" operator="equal" id="{0C5DE6CC-A6CF-496B-A75A-BDC814331EFB}">
            <xm:f>Data!$H$5</xm:f>
            <x14:dxf>
              <fill>
                <patternFill>
                  <bgColor rgb="FFFF0000"/>
                </patternFill>
              </fill>
            </x14:dxf>
          </x14:cfRule>
          <x14:cfRule type="cellIs" priority="7" operator="equal" id="{213C0597-49ED-4C12-8106-9B0BA7E32C79}">
            <xm:f>Data!$H$4</xm:f>
            <x14:dxf>
              <fill>
                <patternFill>
                  <bgColor rgb="FFFF0000"/>
                </patternFill>
              </fill>
            </x14:dxf>
          </x14:cfRule>
          <x14:cfRule type="cellIs" priority="8" operator="equal" id="{2AA14B40-4712-4100-9FEB-3F756F4FCFFA}">
            <xm:f>Data!$H$3</xm:f>
            <x14:dxf>
              <fill>
                <patternFill>
                  <bgColor rgb="FFFF0000"/>
                </patternFill>
              </fill>
            </x14:dxf>
          </x14:cfRule>
          <x14:cfRule type="cellIs" priority="9" operator="equal" id="{CD4A8993-9C71-46B9-9325-0E1B63787301}">
            <xm:f>Data!$H$2</xm:f>
            <x14:dxf>
              <fill>
                <patternFill>
                  <bgColor rgb="FFFF0000"/>
                </patternFill>
              </fill>
            </x14:dxf>
          </x14:cfRule>
          <xm:sqref>C16</xm:sqref>
        </x14:conditionalFormatting>
        <x14:conditionalFormatting xmlns:xm="http://schemas.microsoft.com/office/excel/2006/main">
          <x14:cfRule type="cellIs" priority="5" operator="equal" id="{1C95C1A7-13A7-42ED-81A9-4C787196A1C2}">
            <xm:f>Data!$B$3</xm:f>
            <x14:dxf>
              <fill>
                <patternFill>
                  <bgColor rgb="FFFF0000"/>
                </patternFill>
              </fill>
            </x14:dxf>
          </x14:cfRule>
          <xm:sqref>C30</xm:sqref>
        </x14:conditionalFormatting>
        <x14:conditionalFormatting xmlns:xm="http://schemas.microsoft.com/office/excel/2006/main">
          <x14:cfRule type="cellIs" priority="3" operator="equal" id="{3FB12B61-8BE6-46B5-90DA-CF5C3C893A46}">
            <xm:f>Data!$B$3</xm:f>
            <x14:dxf>
              <fill>
                <patternFill>
                  <bgColor rgb="FFFF0000"/>
                </patternFill>
              </fill>
            </x14:dxf>
          </x14:cfRule>
          <x14:cfRule type="cellIs" priority="4" operator="equal" id="{3624E07A-8F48-4490-B51D-D1C0BCD0DF67}">
            <xm:f>Data!$B$2</xm:f>
            <x14:dxf>
              <fill>
                <patternFill>
                  <bgColor rgb="FFFF0000"/>
                </patternFill>
              </fill>
            </x14:dxf>
          </x14:cfRule>
          <xm:sqref>C31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1000000}">
          <x14:formula1>
            <xm:f>Data!$H$1:$H$5</xm:f>
          </x14:formula1>
          <xm:sqref>C16</xm:sqref>
        </x14:dataValidation>
        <x14:dataValidation type="list" allowBlank="1" showInputMessage="1" showErrorMessage="1" xr:uid="{00000000-0002-0000-0300-000002000000}">
          <x14:formula1>
            <xm:f>Data!$G$1:$G$4</xm:f>
          </x14:formula1>
          <xm:sqref>C25</xm:sqref>
        </x14:dataValidation>
        <x14:dataValidation type="list" allowBlank="1" showInputMessage="1" showErrorMessage="1" xr:uid="{00000000-0002-0000-0300-000003000000}">
          <x14:formula1>
            <xm:f>Data!$E$1:$E$3</xm:f>
          </x14:formula1>
          <xm:sqref>C15</xm:sqref>
        </x14:dataValidation>
        <x14:dataValidation type="list" allowBlank="1" showInputMessage="1" showErrorMessage="1" xr:uid="{00000000-0002-0000-0300-000004000000}">
          <x14:formula1>
            <xm:f>Data!$C$1:$C$8</xm:f>
          </x14:formula1>
          <xm:sqref>C44 C54 C64 C74 C84</xm:sqref>
        </x14:dataValidation>
        <x14:dataValidation type="list" allowBlank="1" showInputMessage="1" showErrorMessage="1" xr:uid="{00000000-0002-0000-0300-000005000000}">
          <x14:formula1>
            <xm:f>Data!$B$1:$B$3</xm:f>
          </x14:formula1>
          <xm:sqref>C19 C22 C29:C34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5"/>
  <sheetViews>
    <sheetView zoomScaleNormal="100" workbookViewId="0">
      <selection activeCell="F10" sqref="F10"/>
    </sheetView>
  </sheetViews>
  <sheetFormatPr defaultColWidth="9.140625" defaultRowHeight="15"/>
  <cols>
    <col min="1" max="1" width="3.28515625" style="6" customWidth="1"/>
    <col min="2" max="2" width="31.28515625" style="21" customWidth="1"/>
    <col min="3" max="3" width="65" style="6" customWidth="1"/>
    <col min="4" max="4" width="2.85546875" style="6" customWidth="1"/>
    <col min="5" max="16384" width="9.140625" style="6"/>
  </cols>
  <sheetData>
    <row r="1" spans="1:4">
      <c r="B1" s="17"/>
      <c r="C1" s="11"/>
    </row>
    <row r="2" spans="1:4" ht="15.75">
      <c r="A2" s="9"/>
      <c r="B2" s="18" t="s">
        <v>5</v>
      </c>
      <c r="C2" s="22" t="s">
        <v>207</v>
      </c>
      <c r="D2" s="10"/>
    </row>
    <row r="3" spans="1:4">
      <c r="A3" s="9"/>
      <c r="B3" s="18" t="s">
        <v>20</v>
      </c>
      <c r="C3" s="13" t="s">
        <v>216</v>
      </c>
      <c r="D3" s="10"/>
    </row>
    <row r="4" spans="1:4">
      <c r="A4" s="9"/>
      <c r="B4" s="18" t="s">
        <v>14</v>
      </c>
      <c r="C4" s="14" t="s">
        <v>208</v>
      </c>
      <c r="D4" s="10"/>
    </row>
    <row r="5" spans="1:4">
      <c r="A5" s="9"/>
      <c r="B5" s="18" t="s">
        <v>15</v>
      </c>
      <c r="C5" s="14"/>
      <c r="D5" s="10"/>
    </row>
    <row r="6" spans="1:4">
      <c r="A6" s="9"/>
      <c r="B6" s="18" t="s">
        <v>33</v>
      </c>
      <c r="C6" s="14" t="s">
        <v>209</v>
      </c>
      <c r="D6" s="10"/>
    </row>
    <row r="7" spans="1:4">
      <c r="A7" s="9"/>
      <c r="B7" s="18" t="s">
        <v>34</v>
      </c>
      <c r="C7" s="46" t="s">
        <v>210</v>
      </c>
      <c r="D7" s="10"/>
    </row>
    <row r="8" spans="1:4">
      <c r="A8" s="9"/>
      <c r="B8" s="18" t="s">
        <v>35</v>
      </c>
      <c r="C8" s="47" t="s">
        <v>211</v>
      </c>
      <c r="D8" s="10"/>
    </row>
    <row r="9" spans="1:4" ht="30">
      <c r="A9" s="9"/>
      <c r="B9" s="18" t="s">
        <v>44</v>
      </c>
      <c r="C9" s="14" t="s">
        <v>212</v>
      </c>
      <c r="D9" s="10"/>
    </row>
    <row r="10" spans="1:4">
      <c r="A10" s="9"/>
      <c r="B10" s="18" t="s">
        <v>45</v>
      </c>
      <c r="C10" s="14" t="s">
        <v>241</v>
      </c>
      <c r="D10" s="10"/>
    </row>
    <row r="11" spans="1:4">
      <c r="B11" s="19"/>
      <c r="C11" s="12"/>
    </row>
    <row r="12" spans="1:4">
      <c r="A12" s="9"/>
      <c r="B12" s="18" t="s">
        <v>28</v>
      </c>
      <c r="C12" s="23">
        <v>4000</v>
      </c>
      <c r="D12" s="10"/>
    </row>
    <row r="13" spans="1:4">
      <c r="A13" s="9"/>
      <c r="B13" s="18" t="s">
        <v>32</v>
      </c>
      <c r="C13" s="14" t="s">
        <v>196</v>
      </c>
      <c r="D13" s="10"/>
    </row>
    <row r="14" spans="1:4">
      <c r="A14" s="9"/>
      <c r="B14" s="18" t="s">
        <v>40</v>
      </c>
      <c r="C14" s="14" t="s">
        <v>41</v>
      </c>
      <c r="D14" s="10"/>
    </row>
    <row r="15" spans="1:4">
      <c r="A15" s="9"/>
      <c r="B15" s="18" t="s">
        <v>36</v>
      </c>
      <c r="C15" s="14" t="s">
        <v>39</v>
      </c>
      <c r="D15" s="10"/>
    </row>
    <row r="16" spans="1:4">
      <c r="A16" s="9"/>
      <c r="B16" s="18" t="s">
        <v>56</v>
      </c>
      <c r="C16" s="14" t="s">
        <v>18</v>
      </c>
      <c r="D16" s="10"/>
    </row>
    <row r="17" spans="1:4" ht="30">
      <c r="A17" s="9"/>
      <c r="B17" s="18" t="s">
        <v>29</v>
      </c>
      <c r="C17" s="14" t="s">
        <v>243</v>
      </c>
      <c r="D17" s="10"/>
    </row>
    <row r="18" spans="1:4" ht="30">
      <c r="A18" s="9"/>
      <c r="B18" s="18" t="s">
        <v>47</v>
      </c>
      <c r="C18" s="14" t="s">
        <v>242</v>
      </c>
      <c r="D18" s="10"/>
    </row>
    <row r="19" spans="1:4">
      <c r="A19" s="9"/>
      <c r="B19" s="18" t="s">
        <v>30</v>
      </c>
      <c r="C19" s="14" t="s">
        <v>18</v>
      </c>
      <c r="D19" s="10"/>
    </row>
    <row r="20" spans="1:4">
      <c r="A20" s="9"/>
      <c r="B20" s="18" t="str">
        <f>IF(C19="ANO","      - jejich druh:","")</f>
        <v/>
      </c>
      <c r="C20" s="12"/>
      <c r="D20" s="10"/>
    </row>
    <row r="21" spans="1:4">
      <c r="A21" s="9"/>
      <c r="B21" s="18" t="str">
        <f>IF(C19="ANO","      - zákonnost zpracování:","")</f>
        <v/>
      </c>
      <c r="C21" s="12"/>
      <c r="D21" s="10"/>
    </row>
    <row r="22" spans="1:4">
      <c r="A22" s="9"/>
      <c r="B22" s="18" t="s">
        <v>31</v>
      </c>
      <c r="C22" s="14" t="s">
        <v>18</v>
      </c>
      <c r="D22" s="10"/>
    </row>
    <row r="23" spans="1:4" ht="45">
      <c r="A23" s="9"/>
      <c r="B23" s="24" t="s">
        <v>48</v>
      </c>
      <c r="C23" s="14" t="s">
        <v>244</v>
      </c>
      <c r="D23" s="10"/>
    </row>
    <row r="24" spans="1:4">
      <c r="A24" s="9"/>
      <c r="B24" s="24" t="s">
        <v>49</v>
      </c>
      <c r="C24" s="14" t="s">
        <v>213</v>
      </c>
      <c r="D24" s="10"/>
    </row>
    <row r="25" spans="1:4">
      <c r="A25" s="9"/>
      <c r="B25" s="24" t="s">
        <v>53</v>
      </c>
      <c r="C25" s="14" t="s">
        <v>18</v>
      </c>
      <c r="D25" s="10"/>
    </row>
    <row r="26" spans="1:4" ht="30">
      <c r="A26" s="9"/>
      <c r="B26" s="24" t="s">
        <v>60</v>
      </c>
      <c r="C26" s="14" t="s">
        <v>245</v>
      </c>
      <c r="D26" s="10"/>
    </row>
    <row r="27" spans="1:4" ht="48.75" customHeight="1">
      <c r="A27" s="9"/>
      <c r="B27" s="18" t="s">
        <v>61</v>
      </c>
      <c r="C27" s="14" t="s">
        <v>214</v>
      </c>
      <c r="D27" s="10"/>
    </row>
    <row r="28" spans="1:4">
      <c r="A28" s="9"/>
      <c r="B28" s="18" t="s">
        <v>51</v>
      </c>
      <c r="C28" s="14" t="s">
        <v>215</v>
      </c>
      <c r="D28" s="10"/>
    </row>
    <row r="29" spans="1:4">
      <c r="A29" s="9"/>
      <c r="B29" s="18" t="s">
        <v>52</v>
      </c>
      <c r="C29" s="14" t="s">
        <v>18</v>
      </c>
      <c r="D29" s="10"/>
    </row>
    <row r="30" spans="1:4">
      <c r="A30" s="9"/>
      <c r="B30" s="18" t="s">
        <v>62</v>
      </c>
      <c r="C30" s="14" t="s">
        <v>19</v>
      </c>
      <c r="D30" s="10"/>
    </row>
    <row r="31" spans="1:4">
      <c r="A31" s="9"/>
      <c r="B31" s="18" t="s">
        <v>63</v>
      </c>
      <c r="C31" s="14" t="s">
        <v>19</v>
      </c>
      <c r="D31" s="10"/>
    </row>
    <row r="32" spans="1:4">
      <c r="A32" s="9"/>
      <c r="B32" s="18" t="s">
        <v>46</v>
      </c>
      <c r="C32" s="14" t="s">
        <v>18</v>
      </c>
      <c r="D32" s="10"/>
    </row>
    <row r="33" spans="1:4" ht="6.75" customHeight="1">
      <c r="B33" s="19"/>
      <c r="C33" s="12"/>
    </row>
    <row r="34" spans="1:4">
      <c r="A34" s="9"/>
      <c r="B34" s="18" t="s">
        <v>16</v>
      </c>
      <c r="C34" s="15" t="s">
        <v>18</v>
      </c>
      <c r="D34" s="10"/>
    </row>
    <row r="35" spans="1:4">
      <c r="A35" s="9"/>
      <c r="B35" s="20" t="str">
        <f>IF(C34="ANO","Počet zpracovatelů:"," ")</f>
        <v xml:space="preserve"> </v>
      </c>
      <c r="C35" s="16"/>
      <c r="D35" s="10"/>
    </row>
    <row r="36" spans="1:4" ht="6.75" customHeight="1">
      <c r="B36" s="19"/>
      <c r="C36" s="12">
        <v>3</v>
      </c>
    </row>
    <row r="37" spans="1:4">
      <c r="B37" s="18" t="str">
        <f>IF(C35&gt;0,"ZPRACOVATEL 1"," ")</f>
        <v xml:space="preserve"> </v>
      </c>
      <c r="C37" s="12"/>
    </row>
    <row r="38" spans="1:4">
      <c r="A38" s="9"/>
      <c r="B38" s="18" t="str">
        <f>IF(C35&gt;0,"Firma (název) zpracovatele:"," ")</f>
        <v xml:space="preserve"> </v>
      </c>
      <c r="C38" s="14" t="str">
        <f t="shared" ref="C38:C43" si="0">IF(B38=" "," ","")</f>
        <v xml:space="preserve"> </v>
      </c>
      <c r="D38" s="10"/>
    </row>
    <row r="39" spans="1:4">
      <c r="A39" s="9"/>
      <c r="B39" s="18" t="str">
        <f>IF(C35&gt;0,"se sídlem:"," ")</f>
        <v xml:space="preserve"> </v>
      </c>
      <c r="C39" s="14" t="str">
        <f t="shared" si="0"/>
        <v xml:space="preserve"> </v>
      </c>
      <c r="D39" s="10"/>
    </row>
    <row r="40" spans="1:4">
      <c r="A40" s="9"/>
      <c r="B40" s="18" t="str">
        <f>IF(C35&gt;0,"IČ:"," ")</f>
        <v xml:space="preserve"> </v>
      </c>
      <c r="C40" s="14" t="str">
        <f t="shared" si="0"/>
        <v xml:space="preserve"> </v>
      </c>
      <c r="D40" s="10"/>
    </row>
    <row r="41" spans="1:4">
      <c r="A41" s="9"/>
      <c r="B41" s="18" t="str">
        <f>IF(C35&gt;0,"odpovědná osoba:"," ")</f>
        <v xml:space="preserve"> </v>
      </c>
      <c r="C41" s="14" t="str">
        <f t="shared" si="0"/>
        <v xml:space="preserve"> </v>
      </c>
      <c r="D41" s="10"/>
    </row>
    <row r="42" spans="1:4">
      <c r="A42" s="9"/>
      <c r="B42" s="18" t="str">
        <f>IF(C35&gt;0,"e-mail:"," ")</f>
        <v xml:space="preserve"> </v>
      </c>
      <c r="C42" s="14" t="str">
        <f t="shared" si="0"/>
        <v xml:space="preserve"> </v>
      </c>
      <c r="D42" s="10"/>
    </row>
    <row r="43" spans="1:4">
      <c r="A43" s="9"/>
      <c r="B43" s="18" t="str">
        <f>IF(C35&gt;0,"telefon:"," ")</f>
        <v xml:space="preserve"> </v>
      </c>
      <c r="C43" s="14" t="str">
        <f t="shared" si="0"/>
        <v xml:space="preserve"> </v>
      </c>
      <c r="D43" s="10"/>
    </row>
    <row r="44" spans="1:4">
      <c r="A44" s="9"/>
      <c r="B44" s="18" t="str">
        <f>IF(C35&gt;0,"Smlouva o zpracování OÚ:"," ")</f>
        <v xml:space="preserve"> </v>
      </c>
      <c r="C44" s="14" t="s">
        <v>25</v>
      </c>
      <c r="D44" s="10"/>
    </row>
    <row r="45" spans="1:4">
      <c r="A45" s="9"/>
      <c r="B45" s="18" t="str">
        <f>IF(AND(C35&gt;0,C44=Data!C5),"Právní předpis:"," ")</f>
        <v xml:space="preserve"> </v>
      </c>
      <c r="C45" s="14" t="str">
        <f>IF(B45=" "," ","")</f>
        <v xml:space="preserve"> </v>
      </c>
      <c r="D45" s="10"/>
    </row>
    <row r="46" spans="1:4" ht="6.75" customHeight="1">
      <c r="B46" s="19"/>
      <c r="C46" s="12">
        <v>3</v>
      </c>
    </row>
    <row r="47" spans="1:4">
      <c r="B47" s="18" t="str">
        <f>IF(C35&gt;1,"ZPRACOVATEL 2"," ")</f>
        <v xml:space="preserve"> </v>
      </c>
      <c r="C47" s="12"/>
    </row>
    <row r="48" spans="1:4">
      <c r="A48" s="9"/>
      <c r="B48" s="18" t="str">
        <f>IF(C35&gt;1,"Firma (název) zpracovatele:"," ")</f>
        <v xml:space="preserve"> </v>
      </c>
      <c r="C48" s="14" t="str">
        <f t="shared" ref="C48:C53" si="1">IF(B48=" "," ","")</f>
        <v xml:space="preserve"> </v>
      </c>
      <c r="D48" s="10"/>
    </row>
    <row r="49" spans="1:4">
      <c r="A49" s="9"/>
      <c r="B49" s="18" t="str">
        <f>IF(C35&gt;1,"se sídlem:"," ")</f>
        <v xml:space="preserve"> </v>
      </c>
      <c r="C49" s="14" t="str">
        <f t="shared" si="1"/>
        <v xml:space="preserve"> </v>
      </c>
      <c r="D49" s="10"/>
    </row>
    <row r="50" spans="1:4">
      <c r="A50" s="9"/>
      <c r="B50" s="18" t="str">
        <f>IF(C35&gt;1,"IČ:"," ")</f>
        <v xml:space="preserve"> </v>
      </c>
      <c r="C50" s="14" t="str">
        <f t="shared" si="1"/>
        <v xml:space="preserve"> </v>
      </c>
      <c r="D50" s="10"/>
    </row>
    <row r="51" spans="1:4">
      <c r="A51" s="9"/>
      <c r="B51" s="18" t="str">
        <f>IF(C35&gt;1,"odpovědná osoba:"," ")</f>
        <v xml:space="preserve"> </v>
      </c>
      <c r="C51" s="14" t="str">
        <f t="shared" si="1"/>
        <v xml:space="preserve"> </v>
      </c>
      <c r="D51" s="10"/>
    </row>
    <row r="52" spans="1:4">
      <c r="A52" s="9"/>
      <c r="B52" s="18" t="str">
        <f>IF(C35&gt;1,"e-mail:"," ")</f>
        <v xml:space="preserve"> </v>
      </c>
      <c r="C52" s="14" t="str">
        <f t="shared" si="1"/>
        <v xml:space="preserve"> </v>
      </c>
      <c r="D52" s="10"/>
    </row>
    <row r="53" spans="1:4">
      <c r="A53" s="9"/>
      <c r="B53" s="18" t="str">
        <f>IF(C35&gt;1,"telefon:"," ")</f>
        <v xml:space="preserve"> </v>
      </c>
      <c r="C53" s="14" t="str">
        <f t="shared" si="1"/>
        <v xml:space="preserve"> </v>
      </c>
      <c r="D53" s="10"/>
    </row>
    <row r="54" spans="1:4">
      <c r="A54" s="9"/>
      <c r="B54" s="18" t="str">
        <f>IF(C35&gt;1,"Smlouva o zpracování OÚ:"," ")</f>
        <v xml:space="preserve"> </v>
      </c>
      <c r="C54" s="14" t="s">
        <v>25</v>
      </c>
      <c r="D54" s="10"/>
    </row>
    <row r="55" spans="1:4">
      <c r="A55" s="9"/>
      <c r="B55" s="18" t="str">
        <f>IF(AND(C35&gt;1,C54=Data!C5),"Právní předpis:"," ")</f>
        <v xml:space="preserve"> </v>
      </c>
      <c r="C55" s="14" t="str">
        <f>IF(B55=" "," ","")</f>
        <v xml:space="preserve"> </v>
      </c>
      <c r="D55" s="10"/>
    </row>
    <row r="56" spans="1:4" ht="6.75" customHeight="1">
      <c r="B56" s="19"/>
      <c r="C56" s="12">
        <v>3</v>
      </c>
    </row>
    <row r="57" spans="1:4">
      <c r="B57" s="18" t="str">
        <f>IF(C35&gt;2,"ZPRACOVATEL 3"," ")</f>
        <v xml:space="preserve"> </v>
      </c>
      <c r="C57" s="12"/>
    </row>
    <row r="58" spans="1:4">
      <c r="A58" s="9"/>
      <c r="B58" s="18" t="str">
        <f>IF(C35&gt;2,"Firma (název) zpracovatele:"," ")</f>
        <v xml:space="preserve"> </v>
      </c>
      <c r="C58" s="14" t="str">
        <f t="shared" ref="C58:C63" si="2">IF(B58=" "," ","")</f>
        <v xml:space="preserve"> </v>
      </c>
      <c r="D58" s="10"/>
    </row>
    <row r="59" spans="1:4">
      <c r="A59" s="9"/>
      <c r="B59" s="18" t="str">
        <f>IF(C35&gt;2,"se sídlem:"," ")</f>
        <v xml:space="preserve"> </v>
      </c>
      <c r="C59" s="14" t="str">
        <f t="shared" si="2"/>
        <v xml:space="preserve"> </v>
      </c>
      <c r="D59" s="10"/>
    </row>
    <row r="60" spans="1:4">
      <c r="A60" s="9"/>
      <c r="B60" s="18" t="str">
        <f>IF(C35&gt;2,"IČ:"," ")</f>
        <v xml:space="preserve"> </v>
      </c>
      <c r="C60" s="14" t="str">
        <f t="shared" si="2"/>
        <v xml:space="preserve"> </v>
      </c>
      <c r="D60" s="10"/>
    </row>
    <row r="61" spans="1:4">
      <c r="A61" s="9"/>
      <c r="B61" s="18" t="str">
        <f>IF(C35&gt;2,"odpovědná osoba:"," ")</f>
        <v xml:space="preserve"> </v>
      </c>
      <c r="C61" s="14" t="str">
        <f t="shared" si="2"/>
        <v xml:space="preserve"> </v>
      </c>
      <c r="D61" s="10"/>
    </row>
    <row r="62" spans="1:4">
      <c r="A62" s="9"/>
      <c r="B62" s="18" t="str">
        <f>IF(C35&gt;2,"e-mail:"," ")</f>
        <v xml:space="preserve"> </v>
      </c>
      <c r="C62" s="14" t="str">
        <f t="shared" si="2"/>
        <v xml:space="preserve"> </v>
      </c>
      <c r="D62" s="10"/>
    </row>
    <row r="63" spans="1:4">
      <c r="A63" s="9"/>
      <c r="B63" s="18" t="str">
        <f>IF(C35&gt;2,"telefon:"," ")</f>
        <v xml:space="preserve"> </v>
      </c>
      <c r="C63" s="14" t="str">
        <f t="shared" si="2"/>
        <v xml:space="preserve"> </v>
      </c>
      <c r="D63" s="10"/>
    </row>
    <row r="64" spans="1:4">
      <c r="A64" s="9"/>
      <c r="B64" s="18" t="str">
        <f>IF(C35&gt;2,"Smlouva o zpracování OÚ:"," ")</f>
        <v xml:space="preserve"> </v>
      </c>
      <c r="C64" s="14" t="s">
        <v>25</v>
      </c>
      <c r="D64" s="10"/>
    </row>
    <row r="65" spans="1:4">
      <c r="A65" s="9"/>
      <c r="B65" s="18" t="str">
        <f>IF(AND(C35&gt;2,C64=Data!C5),"Právní předpis:"," ")</f>
        <v xml:space="preserve"> </v>
      </c>
      <c r="C65" s="14" t="str">
        <f>IF(B65=" "," ","")</f>
        <v xml:space="preserve"> </v>
      </c>
      <c r="D65" s="10"/>
    </row>
    <row r="66" spans="1:4" ht="6.75" customHeight="1">
      <c r="B66" s="19"/>
      <c r="C66" s="12">
        <v>3</v>
      </c>
    </row>
    <row r="67" spans="1:4">
      <c r="B67" s="18" t="str">
        <f>IF(C35&gt;3,"ZPRACOVATEL 4"," ")</f>
        <v xml:space="preserve"> </v>
      </c>
      <c r="C67" s="12"/>
    </row>
    <row r="68" spans="1:4">
      <c r="A68" s="9"/>
      <c r="B68" s="18" t="str">
        <f>IF(C35&gt;3,"Firma (název) zpracovatele:"," ")</f>
        <v xml:space="preserve"> </v>
      </c>
      <c r="C68" s="14" t="str">
        <f t="shared" ref="C68:C73" si="3">IF(B68=" "," ","")</f>
        <v xml:space="preserve"> </v>
      </c>
      <c r="D68" s="10"/>
    </row>
    <row r="69" spans="1:4">
      <c r="A69" s="9"/>
      <c r="B69" s="18" t="str">
        <f>IF(C35&gt;3,"se sídlem:"," ")</f>
        <v xml:space="preserve"> </v>
      </c>
      <c r="C69" s="14" t="str">
        <f t="shared" si="3"/>
        <v xml:space="preserve"> </v>
      </c>
      <c r="D69" s="10"/>
    </row>
    <row r="70" spans="1:4">
      <c r="A70" s="9"/>
      <c r="B70" s="18" t="str">
        <f>IF(C35&gt;3,"IČ:"," ")</f>
        <v xml:space="preserve"> </v>
      </c>
      <c r="C70" s="14" t="str">
        <f t="shared" si="3"/>
        <v xml:space="preserve"> </v>
      </c>
      <c r="D70" s="10"/>
    </row>
    <row r="71" spans="1:4">
      <c r="A71" s="9"/>
      <c r="B71" s="18" t="str">
        <f>IF(C35&gt;3,"odpovědná osoba:"," ")</f>
        <v xml:space="preserve"> </v>
      </c>
      <c r="C71" s="14" t="str">
        <f t="shared" si="3"/>
        <v xml:space="preserve"> </v>
      </c>
      <c r="D71" s="10"/>
    </row>
    <row r="72" spans="1:4">
      <c r="A72" s="9"/>
      <c r="B72" s="18" t="str">
        <f>IF(C35&gt;3,"e-mail:"," ")</f>
        <v xml:space="preserve"> </v>
      </c>
      <c r="C72" s="14" t="str">
        <f t="shared" si="3"/>
        <v xml:space="preserve"> </v>
      </c>
      <c r="D72" s="10"/>
    </row>
    <row r="73" spans="1:4">
      <c r="A73" s="9"/>
      <c r="B73" s="18" t="str">
        <f>IF(C35&gt;3,"telefon:"," ")</f>
        <v xml:space="preserve"> </v>
      </c>
      <c r="C73" s="14" t="str">
        <f t="shared" si="3"/>
        <v xml:space="preserve"> </v>
      </c>
      <c r="D73" s="10"/>
    </row>
    <row r="74" spans="1:4">
      <c r="A74" s="9"/>
      <c r="B74" s="18" t="str">
        <f>IF(C35&gt;3,"Smlouva o zpracování OÚ:"," ")</f>
        <v xml:space="preserve"> </v>
      </c>
      <c r="C74" s="14" t="s">
        <v>25</v>
      </c>
      <c r="D74" s="10"/>
    </row>
    <row r="75" spans="1:4">
      <c r="A75" s="9"/>
      <c r="B75" s="18" t="str">
        <f>IF(AND(C35&gt;3,C74=Data!C35),"Právní předpis:"," ")</f>
        <v xml:space="preserve"> </v>
      </c>
      <c r="C75" s="14" t="str">
        <f>IF(B75=" "," ","")</f>
        <v xml:space="preserve"> </v>
      </c>
      <c r="D75" s="10"/>
    </row>
    <row r="76" spans="1:4" ht="6.75" customHeight="1">
      <c r="B76" s="19"/>
      <c r="C76" s="12">
        <v>3</v>
      </c>
    </row>
    <row r="77" spans="1:4">
      <c r="B77" s="18" t="str">
        <f>IF(C35&gt;4,"ZPRACOVATEL 5"," ")</f>
        <v xml:space="preserve"> </v>
      </c>
      <c r="C77" s="12"/>
    </row>
    <row r="78" spans="1:4">
      <c r="A78" s="9"/>
      <c r="B78" s="18" t="str">
        <f>IF(C35&gt;4,"Firma (název) zpracovatele:"," ")</f>
        <v xml:space="preserve"> </v>
      </c>
      <c r="C78" s="14" t="str">
        <f t="shared" ref="C78:C83" si="4">IF(B78=" "," ","")</f>
        <v xml:space="preserve"> </v>
      </c>
      <c r="D78" s="10"/>
    </row>
    <row r="79" spans="1:4">
      <c r="A79" s="9"/>
      <c r="B79" s="18" t="str">
        <f>IF(C35&gt;4,"se sídlem:"," ")</f>
        <v xml:space="preserve"> </v>
      </c>
      <c r="C79" s="14" t="str">
        <f t="shared" si="4"/>
        <v xml:space="preserve"> </v>
      </c>
      <c r="D79" s="10"/>
    </row>
    <row r="80" spans="1:4">
      <c r="A80" s="9"/>
      <c r="B80" s="18" t="str">
        <f>IF(C35&gt;4,"IČ:"," ")</f>
        <v xml:space="preserve"> </v>
      </c>
      <c r="C80" s="14" t="str">
        <f t="shared" si="4"/>
        <v xml:space="preserve"> </v>
      </c>
      <c r="D80" s="10"/>
    </row>
    <row r="81" spans="1:4">
      <c r="A81" s="9"/>
      <c r="B81" s="18" t="str">
        <f>IF(C35&gt;4,"odpovědná osoba:"," ")</f>
        <v xml:space="preserve"> </v>
      </c>
      <c r="C81" s="14" t="str">
        <f t="shared" si="4"/>
        <v xml:space="preserve"> </v>
      </c>
      <c r="D81" s="10"/>
    </row>
    <row r="82" spans="1:4">
      <c r="A82" s="9"/>
      <c r="B82" s="18" t="str">
        <f>IF(C35&gt;4,"e-mail:"," ")</f>
        <v xml:space="preserve"> </v>
      </c>
      <c r="C82" s="14" t="str">
        <f t="shared" si="4"/>
        <v xml:space="preserve"> </v>
      </c>
      <c r="D82" s="10"/>
    </row>
    <row r="83" spans="1:4">
      <c r="A83" s="9"/>
      <c r="B83" s="18" t="str">
        <f>IF(C35&gt;4,"telefon:"," ")</f>
        <v xml:space="preserve"> </v>
      </c>
      <c r="C83" s="14" t="str">
        <f t="shared" si="4"/>
        <v xml:space="preserve"> </v>
      </c>
      <c r="D83" s="10"/>
    </row>
    <row r="84" spans="1:4">
      <c r="A84" s="9"/>
      <c r="B84" s="18" t="str">
        <f>IF(C35&gt;4,"Smlouva o zpracování OÚ:"," ")</f>
        <v xml:space="preserve"> </v>
      </c>
      <c r="C84" s="14" t="s">
        <v>25</v>
      </c>
      <c r="D84" s="10"/>
    </row>
    <row r="85" spans="1:4">
      <c r="A85" s="9"/>
      <c r="B85" s="18" t="str">
        <f>IF(AND(C35&gt;4,C84=Data!C45),"Právní předpis:"," ")</f>
        <v xml:space="preserve"> </v>
      </c>
      <c r="C85" s="14" t="str">
        <f>IF(B85=" "," ","")</f>
        <v xml:space="preserve"> </v>
      </c>
      <c r="D85" s="10"/>
    </row>
  </sheetData>
  <sheetProtection password="D15B" sheet="1" objects="1" scenarios="1" selectLockedCells="1" selectUnlockedCells="1"/>
  <conditionalFormatting sqref="B38">
    <cfRule type="cellIs" dxfId="250" priority="84" operator="equal">
      <formula>" "</formula>
    </cfRule>
  </conditionalFormatting>
  <conditionalFormatting sqref="B40:C45 B39">
    <cfRule type="cellIs" dxfId="249" priority="83" operator="equal">
      <formula>" "</formula>
    </cfRule>
  </conditionalFormatting>
  <conditionalFormatting sqref="B35">
    <cfRule type="cellIs" dxfId="248" priority="82" operator="equal">
      <formula>" "</formula>
    </cfRule>
  </conditionalFormatting>
  <conditionalFormatting sqref="B37">
    <cfRule type="cellIs" dxfId="247" priority="81" operator="equal">
      <formula>" "</formula>
    </cfRule>
  </conditionalFormatting>
  <conditionalFormatting sqref="C40:C45">
    <cfRule type="cellIs" dxfId="246" priority="75" operator="equal">
      <formula>" "</formula>
    </cfRule>
    <cfRule type="cellIs" dxfId="245" priority="80" operator="equal">
      <formula>" "</formula>
    </cfRule>
  </conditionalFormatting>
  <conditionalFormatting sqref="C40">
    <cfRule type="cellIs" dxfId="244" priority="79" operator="equal">
      <formula>" "</formula>
    </cfRule>
  </conditionalFormatting>
  <conditionalFormatting sqref="C41">
    <cfRule type="cellIs" dxfId="243" priority="78" operator="equal">
      <formula>" "</formula>
    </cfRule>
  </conditionalFormatting>
  <conditionalFormatting sqref="C42">
    <cfRule type="cellIs" dxfId="242" priority="77" operator="equal">
      <formula>" "</formula>
    </cfRule>
  </conditionalFormatting>
  <conditionalFormatting sqref="C43">
    <cfRule type="cellIs" dxfId="241" priority="76" operator="equal">
      <formula>" "</formula>
    </cfRule>
  </conditionalFormatting>
  <conditionalFormatting sqref="C35">
    <cfRule type="expression" dxfId="240" priority="74">
      <formula>$B$35="Počet zpracovatelů:"</formula>
    </cfRule>
  </conditionalFormatting>
  <conditionalFormatting sqref="C44">
    <cfRule type="expression" dxfId="239" priority="73">
      <formula>$B$44="Smlouva o zpracování OÚ:"</formula>
    </cfRule>
  </conditionalFormatting>
  <conditionalFormatting sqref="B48:C48">
    <cfRule type="cellIs" dxfId="238" priority="72" operator="equal">
      <formula>" "</formula>
    </cfRule>
  </conditionalFormatting>
  <conditionalFormatting sqref="B49:C53 B55:C55 B54">
    <cfRule type="cellIs" dxfId="237" priority="71" operator="equal">
      <formula>" "</formula>
    </cfRule>
  </conditionalFormatting>
  <conditionalFormatting sqref="B47">
    <cfRule type="cellIs" dxfId="236" priority="70" operator="equal">
      <formula>" "</formula>
    </cfRule>
  </conditionalFormatting>
  <conditionalFormatting sqref="C48:C53 C55">
    <cfRule type="cellIs" dxfId="235" priority="63" operator="equal">
      <formula>" "</formula>
    </cfRule>
    <cfRule type="cellIs" dxfId="234" priority="69" operator="equal">
      <formula>" "</formula>
    </cfRule>
  </conditionalFormatting>
  <conditionalFormatting sqref="C49">
    <cfRule type="cellIs" dxfId="233" priority="68" operator="equal">
      <formula>" "</formula>
    </cfRule>
  </conditionalFormatting>
  <conditionalFormatting sqref="C50">
    <cfRule type="cellIs" dxfId="232" priority="67" operator="equal">
      <formula>" "</formula>
    </cfRule>
  </conditionalFormatting>
  <conditionalFormatting sqref="C51">
    <cfRule type="cellIs" dxfId="231" priority="66" operator="equal">
      <formula>" "</formula>
    </cfRule>
  </conditionalFormatting>
  <conditionalFormatting sqref="C52">
    <cfRule type="cellIs" dxfId="230" priority="65" operator="equal">
      <formula>" "</formula>
    </cfRule>
  </conditionalFormatting>
  <conditionalFormatting sqref="C53">
    <cfRule type="cellIs" dxfId="229" priority="64" operator="equal">
      <formula>" "</formula>
    </cfRule>
  </conditionalFormatting>
  <conditionalFormatting sqref="B58:C58">
    <cfRule type="cellIs" dxfId="228" priority="62" operator="equal">
      <formula>" "</formula>
    </cfRule>
  </conditionalFormatting>
  <conditionalFormatting sqref="B59:C65">
    <cfRule type="cellIs" dxfId="227" priority="61" operator="equal">
      <formula>" "</formula>
    </cfRule>
  </conditionalFormatting>
  <conditionalFormatting sqref="B57">
    <cfRule type="cellIs" dxfId="226" priority="60" operator="equal">
      <formula>" "</formula>
    </cfRule>
  </conditionalFormatting>
  <conditionalFormatting sqref="C58:C65">
    <cfRule type="cellIs" dxfId="225" priority="53" operator="equal">
      <formula>" "</formula>
    </cfRule>
    <cfRule type="cellIs" dxfId="224" priority="59" operator="equal">
      <formula>" "</formula>
    </cfRule>
  </conditionalFormatting>
  <conditionalFormatting sqref="C59">
    <cfRule type="cellIs" dxfId="223" priority="58" operator="equal">
      <formula>" "</formula>
    </cfRule>
  </conditionalFormatting>
  <conditionalFormatting sqref="C60">
    <cfRule type="cellIs" dxfId="222" priority="57" operator="equal">
      <formula>" "</formula>
    </cfRule>
  </conditionalFormatting>
  <conditionalFormatting sqref="C61">
    <cfRule type="cellIs" dxfId="221" priority="56" operator="equal">
      <formula>" "</formula>
    </cfRule>
  </conditionalFormatting>
  <conditionalFormatting sqref="C62">
    <cfRule type="cellIs" dxfId="220" priority="55" operator="equal">
      <formula>" "</formula>
    </cfRule>
  </conditionalFormatting>
  <conditionalFormatting sqref="C63">
    <cfRule type="cellIs" dxfId="219" priority="54" operator="equal">
      <formula>" "</formula>
    </cfRule>
  </conditionalFormatting>
  <conditionalFormatting sqref="C64">
    <cfRule type="expression" dxfId="218" priority="52">
      <formula>$B$64="Smlouva o zpracování OÚ:"</formula>
    </cfRule>
  </conditionalFormatting>
  <conditionalFormatting sqref="B68:C68">
    <cfRule type="cellIs" dxfId="217" priority="51" operator="equal">
      <formula>" "</formula>
    </cfRule>
  </conditionalFormatting>
  <conditionalFormatting sqref="B69:C75">
    <cfRule type="cellIs" dxfId="216" priority="50" operator="equal">
      <formula>" "</formula>
    </cfRule>
  </conditionalFormatting>
  <conditionalFormatting sqref="B67">
    <cfRule type="cellIs" dxfId="215" priority="49" operator="equal">
      <formula>" "</formula>
    </cfRule>
  </conditionalFormatting>
  <conditionalFormatting sqref="C68:C75">
    <cfRule type="cellIs" dxfId="214" priority="42" operator="equal">
      <formula>" "</formula>
    </cfRule>
    <cfRule type="cellIs" dxfId="213" priority="48" operator="equal">
      <formula>" "</formula>
    </cfRule>
  </conditionalFormatting>
  <conditionalFormatting sqref="C69">
    <cfRule type="cellIs" dxfId="212" priority="47" operator="equal">
      <formula>" "</formula>
    </cfRule>
  </conditionalFormatting>
  <conditionalFormatting sqref="C70">
    <cfRule type="cellIs" dxfId="211" priority="46" operator="equal">
      <formula>" "</formula>
    </cfRule>
  </conditionalFormatting>
  <conditionalFormatting sqref="C71">
    <cfRule type="cellIs" dxfId="210" priority="45" operator="equal">
      <formula>" "</formula>
    </cfRule>
  </conditionalFormatting>
  <conditionalFormatting sqref="C72">
    <cfRule type="cellIs" dxfId="209" priority="44" operator="equal">
      <formula>" "</formula>
    </cfRule>
  </conditionalFormatting>
  <conditionalFormatting sqref="C73">
    <cfRule type="cellIs" dxfId="208" priority="43" operator="equal">
      <formula>" "</formula>
    </cfRule>
  </conditionalFormatting>
  <conditionalFormatting sqref="C74">
    <cfRule type="expression" dxfId="207" priority="41">
      <formula>$B$74="Smlouva o zpracování OÚ:"</formula>
    </cfRule>
  </conditionalFormatting>
  <conditionalFormatting sqref="B78:C78">
    <cfRule type="cellIs" dxfId="206" priority="40" operator="equal">
      <formula>" "</formula>
    </cfRule>
  </conditionalFormatting>
  <conditionalFormatting sqref="B79:C85">
    <cfRule type="cellIs" dxfId="205" priority="39" operator="equal">
      <formula>" "</formula>
    </cfRule>
  </conditionalFormatting>
  <conditionalFormatting sqref="B77">
    <cfRule type="cellIs" dxfId="204" priority="38" operator="equal">
      <formula>" "</formula>
    </cfRule>
  </conditionalFormatting>
  <conditionalFormatting sqref="C78:C85">
    <cfRule type="cellIs" dxfId="203" priority="31" operator="equal">
      <formula>" "</formula>
    </cfRule>
    <cfRule type="cellIs" dxfId="202" priority="37" operator="equal">
      <formula>" "</formula>
    </cfRule>
  </conditionalFormatting>
  <conditionalFormatting sqref="C79">
    <cfRule type="cellIs" dxfId="201" priority="36" operator="equal">
      <formula>" "</formula>
    </cfRule>
  </conditionalFormatting>
  <conditionalFormatting sqref="C80">
    <cfRule type="cellIs" dxfId="200" priority="35" operator="equal">
      <formula>" "</formula>
    </cfRule>
  </conditionalFormatting>
  <conditionalFormatting sqref="C81">
    <cfRule type="cellIs" dxfId="199" priority="34" operator="equal">
      <formula>" "</formula>
    </cfRule>
  </conditionalFormatting>
  <conditionalFormatting sqref="C82">
    <cfRule type="cellIs" dxfId="198" priority="33" operator="equal">
      <formula>" "</formula>
    </cfRule>
  </conditionalFormatting>
  <conditionalFormatting sqref="C83">
    <cfRule type="cellIs" dxfId="197" priority="32" operator="equal">
      <formula>" "</formula>
    </cfRule>
  </conditionalFormatting>
  <conditionalFormatting sqref="C84">
    <cfRule type="expression" dxfId="196" priority="30">
      <formula>$B$84="Smlouva o zpracování OÚ:"</formula>
    </cfRule>
  </conditionalFormatting>
  <conditionalFormatting sqref="C54">
    <cfRule type="cellIs" dxfId="195" priority="29" operator="equal">
      <formula>" "</formula>
    </cfRule>
  </conditionalFormatting>
  <conditionalFormatting sqref="C54">
    <cfRule type="cellIs" dxfId="194" priority="27" operator="equal">
      <formula>" "</formula>
    </cfRule>
    <cfRule type="cellIs" dxfId="193" priority="28" operator="equal">
      <formula>" "</formula>
    </cfRule>
  </conditionalFormatting>
  <conditionalFormatting sqref="C54">
    <cfRule type="expression" dxfId="192" priority="26">
      <formula>$B$54="Smlouva o zpracování OÚ:"</formula>
    </cfRule>
  </conditionalFormatting>
  <conditionalFormatting sqref="C38">
    <cfRule type="cellIs" dxfId="191" priority="25" operator="equal">
      <formula>" "</formula>
    </cfRule>
  </conditionalFormatting>
  <conditionalFormatting sqref="C39">
    <cfRule type="cellIs" dxfId="190" priority="24" operator="equal">
      <formula>" "</formula>
    </cfRule>
  </conditionalFormatting>
  <conditionalFormatting sqref="C38:C39">
    <cfRule type="cellIs" dxfId="189" priority="21" operator="equal">
      <formula>" "</formula>
    </cfRule>
    <cfRule type="cellIs" dxfId="188" priority="23" operator="equal">
      <formula>" "</formula>
    </cfRule>
  </conditionalFormatting>
  <conditionalFormatting sqref="C39">
    <cfRule type="cellIs" dxfId="187" priority="22" operator="equal">
      <formula>" "</formula>
    </cfRule>
  </conditionalFormatting>
  <conditionalFormatting sqref="C22">
    <cfRule type="cellIs" dxfId="186" priority="19" operator="equal">
      <formula>"NEVÍM"</formula>
    </cfRule>
    <cfRule type="cellIs" dxfId="185" priority="20" operator="equal">
      <formula>"ANO"</formula>
    </cfRule>
  </conditionalFormatting>
  <conditionalFormatting sqref="C20">
    <cfRule type="expression" dxfId="184" priority="18">
      <formula>$B$20="      - jejich druh:"</formula>
    </cfRule>
  </conditionalFormatting>
  <conditionalFormatting sqref="C21">
    <cfRule type="expression" dxfId="183" priority="17">
      <formula>$B$20="      - jejich druh:"</formula>
    </cfRule>
  </conditionalFormatting>
  <conditionalFormatting sqref="C19">
    <cfRule type="cellIs" dxfId="182" priority="16" operator="equal">
      <formula>"NEVÍM"</formula>
    </cfRule>
  </conditionalFormatting>
  <conditionalFormatting sqref="C32">
    <cfRule type="cellIs" dxfId="181" priority="14" operator="equal">
      <formula>"NEVÍM"</formula>
    </cfRule>
    <cfRule type="cellIs" dxfId="180" priority="15" operator="equal">
      <formula>"ANO"</formula>
    </cfRule>
  </conditionalFormatting>
  <conditionalFormatting sqref="C29">
    <cfRule type="cellIs" dxfId="179" priority="12" operator="equal">
      <formula>"NEVÍM"</formula>
    </cfRule>
    <cfRule type="cellIs" dxfId="178" priority="13" operator="equal">
      <formula>"ANO"</formula>
    </cfRule>
  </conditionalFormatting>
  <conditionalFormatting sqref="C31">
    <cfRule type="expression" dxfId="177" priority="2">
      <formula>$C$30="NE"</formula>
    </cfRule>
  </conditionalFormatting>
  <conditionalFormatting sqref="B31">
    <cfRule type="expression" dxfId="176" priority="1">
      <formula>$C$30="NE"</formula>
    </cfRule>
  </conditionalFormatting>
  <dataValidations count="1">
    <dataValidation type="whole" allowBlank="1" showInputMessage="1" showErrorMessage="1" sqref="C46:C47 C56:C57 C66:C67 C76:C77 C35:C37" xr:uid="{00000000-0002-0000-0400-000000000000}">
      <formula1>1</formula1>
      <formula2>5</formula2>
    </dataValidation>
  </dataValidations>
  <hyperlinks>
    <hyperlink ref="C7" r:id="rId1" xr:uid="{00000000-0004-0000-0400-000000000000}"/>
  </hyperlinks>
  <pageMargins left="0.7" right="0.7" top="0.78740157499999996" bottom="0.78740157499999996" header="0.3" footer="0.3"/>
  <pageSetup paperSize="9" orientation="landscape" horizontalDpi="0" verticalDpi="0" r:id="rId2"/>
  <headerFooter>
    <oddFooter>&amp;CCopyright © 2017 by VIAVIS a.s.</oddFooter>
  </headerFooter>
  <drawing r:id="rId3"/>
  <legacyDrawing r:id="rId4"/>
  <extLst>
    <ext xmlns:x14="http://schemas.microsoft.com/office/spreadsheetml/2009/9/main" uri="{78C0D931-6437-407d-A8EE-F0AAD7539E65}">
      <x14:conditionalFormattings>
        <x14:conditionalFormatting xmlns:xm="http://schemas.microsoft.com/office/excel/2006/main">
          <x14:cfRule type="cellIs" priority="10" operator="equal" id="{25715933-A99A-4969-B668-A498AE219D3C}">
            <xm:f>Data!$G$4</xm:f>
            <x14:dxf>
              <fill>
                <patternFill>
                  <bgColor rgb="FFFF0000"/>
                </patternFill>
              </fill>
            </x14:dxf>
          </x14:cfRule>
          <x14:cfRule type="cellIs" priority="11" operator="equal" id="{41FB201E-8AD5-4D32-A991-F0F504246CF5}">
            <xm:f>Data!$G$3</xm:f>
            <x14:dxf>
              <fill>
                <patternFill>
                  <bgColor rgb="FFFF0000"/>
                </patternFill>
              </fill>
            </x14:dxf>
          </x14:cfRule>
          <xm:sqref>C25</xm:sqref>
        </x14:conditionalFormatting>
        <x14:conditionalFormatting xmlns:xm="http://schemas.microsoft.com/office/excel/2006/main">
          <x14:cfRule type="cellIs" priority="6" operator="equal" id="{91FB1B79-9324-4DDA-855E-154CD92CB87C}">
            <xm:f>Data!$H$5</xm:f>
            <x14:dxf>
              <fill>
                <patternFill>
                  <bgColor rgb="FFFF0000"/>
                </patternFill>
              </fill>
            </x14:dxf>
          </x14:cfRule>
          <x14:cfRule type="cellIs" priority="7" operator="equal" id="{55293403-9166-45AF-B799-B73E9119D467}">
            <xm:f>Data!$H$4</xm:f>
            <x14:dxf>
              <fill>
                <patternFill>
                  <bgColor rgb="FFFF0000"/>
                </patternFill>
              </fill>
            </x14:dxf>
          </x14:cfRule>
          <x14:cfRule type="cellIs" priority="8" operator="equal" id="{FE152D03-E0F7-4737-AA82-1BF3BF895791}">
            <xm:f>Data!$H$3</xm:f>
            <x14:dxf>
              <fill>
                <patternFill>
                  <bgColor rgb="FFFF0000"/>
                </patternFill>
              </fill>
            </x14:dxf>
          </x14:cfRule>
          <x14:cfRule type="cellIs" priority="9" operator="equal" id="{11591868-0320-496B-A17E-EFD8A3A60C42}">
            <xm:f>Data!$H$2</xm:f>
            <x14:dxf>
              <fill>
                <patternFill>
                  <bgColor rgb="FFFF0000"/>
                </patternFill>
              </fill>
            </x14:dxf>
          </x14:cfRule>
          <xm:sqref>C16</xm:sqref>
        </x14:conditionalFormatting>
        <x14:conditionalFormatting xmlns:xm="http://schemas.microsoft.com/office/excel/2006/main">
          <x14:cfRule type="cellIs" priority="5" operator="equal" id="{65AE849B-74DB-4345-8910-7BD6478DA2A5}">
            <xm:f>Data!$B$3</xm:f>
            <x14:dxf>
              <fill>
                <patternFill>
                  <bgColor rgb="FFFF0000"/>
                </patternFill>
              </fill>
            </x14:dxf>
          </x14:cfRule>
          <xm:sqref>C30</xm:sqref>
        </x14:conditionalFormatting>
        <x14:conditionalFormatting xmlns:xm="http://schemas.microsoft.com/office/excel/2006/main">
          <x14:cfRule type="cellIs" priority="3" operator="equal" id="{E5F0CD53-BF0A-4A22-9DDB-EF8D6F9E23D0}">
            <xm:f>Data!$B$3</xm:f>
            <x14:dxf>
              <fill>
                <patternFill>
                  <bgColor rgb="FFFF0000"/>
                </patternFill>
              </fill>
            </x14:dxf>
          </x14:cfRule>
          <x14:cfRule type="cellIs" priority="4" operator="equal" id="{E7A44F6C-121D-4639-84D7-FF282B85433B}">
            <xm:f>Data!$B$2</xm:f>
            <x14:dxf>
              <fill>
                <patternFill>
                  <bgColor rgb="FFFF0000"/>
                </patternFill>
              </fill>
            </x14:dxf>
          </x14:cfRule>
          <xm:sqref>C31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1000000}">
          <x14:formula1>
            <xm:f>Data!$H$1:$H$5</xm:f>
          </x14:formula1>
          <xm:sqref>C16</xm:sqref>
        </x14:dataValidation>
        <x14:dataValidation type="list" allowBlank="1" showInputMessage="1" showErrorMessage="1" xr:uid="{00000000-0002-0000-0400-000002000000}">
          <x14:formula1>
            <xm:f>Data!$G$1:$G$4</xm:f>
          </x14:formula1>
          <xm:sqref>C25</xm:sqref>
        </x14:dataValidation>
        <x14:dataValidation type="list" allowBlank="1" showInputMessage="1" showErrorMessage="1" xr:uid="{00000000-0002-0000-0400-000003000000}">
          <x14:formula1>
            <xm:f>Data!$E$1:$E$3</xm:f>
          </x14:formula1>
          <xm:sqref>C15</xm:sqref>
        </x14:dataValidation>
        <x14:dataValidation type="list" allowBlank="1" showInputMessage="1" showErrorMessage="1" xr:uid="{00000000-0002-0000-0400-000004000000}">
          <x14:formula1>
            <xm:f>Data!$C$1:$C$8</xm:f>
          </x14:formula1>
          <xm:sqref>C44 C54 C64 C74 C84</xm:sqref>
        </x14:dataValidation>
        <x14:dataValidation type="list" allowBlank="1" showInputMessage="1" showErrorMessage="1" xr:uid="{00000000-0002-0000-0400-000005000000}">
          <x14:formula1>
            <xm:f>Data!$B$1:$B$3</xm:f>
          </x14:formula1>
          <xm:sqref>C19 C22 C29:C34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5"/>
  <sheetViews>
    <sheetView zoomScaleNormal="100" workbookViewId="0">
      <selection activeCell="C28" sqref="C28"/>
    </sheetView>
  </sheetViews>
  <sheetFormatPr defaultColWidth="9.140625" defaultRowHeight="15"/>
  <cols>
    <col min="1" max="1" width="3.28515625" style="6" customWidth="1"/>
    <col min="2" max="2" width="31.28515625" style="21" customWidth="1"/>
    <col min="3" max="3" width="65" style="6" customWidth="1"/>
    <col min="4" max="4" width="2.85546875" style="6" customWidth="1"/>
    <col min="5" max="16384" width="9.140625" style="6"/>
  </cols>
  <sheetData>
    <row r="1" spans="1:4">
      <c r="B1" s="17"/>
      <c r="C1" s="11"/>
    </row>
    <row r="2" spans="1:4" ht="15.75">
      <c r="A2" s="9"/>
      <c r="B2" s="18" t="s">
        <v>5</v>
      </c>
      <c r="C2" s="22" t="s">
        <v>189</v>
      </c>
      <c r="D2" s="10"/>
    </row>
    <row r="3" spans="1:4">
      <c r="A3" s="9"/>
      <c r="B3" s="18" t="s">
        <v>20</v>
      </c>
      <c r="C3" s="13" t="s">
        <v>261</v>
      </c>
      <c r="D3" s="10"/>
    </row>
    <row r="4" spans="1:4">
      <c r="A4" s="9"/>
      <c r="B4" s="18" t="s">
        <v>14</v>
      </c>
      <c r="C4" s="14" t="s">
        <v>191</v>
      </c>
      <c r="D4" s="10"/>
    </row>
    <row r="5" spans="1:4">
      <c r="A5" s="9"/>
      <c r="B5" s="18" t="s">
        <v>15</v>
      </c>
      <c r="C5" s="14">
        <v>9</v>
      </c>
      <c r="D5" s="10"/>
    </row>
    <row r="6" spans="1:4">
      <c r="A6" s="9"/>
      <c r="B6" s="18" t="s">
        <v>33</v>
      </c>
      <c r="C6" s="14"/>
      <c r="D6" s="10"/>
    </row>
    <row r="7" spans="1:4">
      <c r="A7" s="9"/>
      <c r="B7" s="18" t="s">
        <v>34</v>
      </c>
      <c r="C7" s="46"/>
      <c r="D7" s="10"/>
    </row>
    <row r="8" spans="1:4">
      <c r="A8" s="9"/>
      <c r="B8" s="18" t="s">
        <v>35</v>
      </c>
      <c r="C8" s="49"/>
      <c r="D8" s="10"/>
    </row>
    <row r="9" spans="1:4">
      <c r="A9" s="9"/>
      <c r="B9" s="18" t="s">
        <v>44</v>
      </c>
      <c r="C9" s="14" t="s">
        <v>191</v>
      </c>
      <c r="D9" s="10"/>
    </row>
    <row r="10" spans="1:4">
      <c r="A10" s="9"/>
      <c r="B10" s="18" t="s">
        <v>45</v>
      </c>
      <c r="C10" s="14" t="s">
        <v>18</v>
      </c>
      <c r="D10" s="10"/>
    </row>
    <row r="11" spans="1:4">
      <c r="B11" s="19"/>
      <c r="C11" s="12"/>
    </row>
    <row r="12" spans="1:4">
      <c r="A12" s="9"/>
      <c r="B12" s="18" t="s">
        <v>28</v>
      </c>
      <c r="C12" s="23">
        <v>230</v>
      </c>
      <c r="D12" s="10"/>
    </row>
    <row r="13" spans="1:4">
      <c r="A13" s="9"/>
      <c r="B13" s="18" t="s">
        <v>32</v>
      </c>
      <c r="C13" s="14"/>
      <c r="D13" s="10"/>
    </row>
    <row r="14" spans="1:4">
      <c r="A14" s="9"/>
      <c r="B14" s="18" t="s">
        <v>40</v>
      </c>
      <c r="C14" s="14" t="s">
        <v>252</v>
      </c>
      <c r="D14" s="10"/>
    </row>
    <row r="15" spans="1:4">
      <c r="A15" s="9"/>
      <c r="B15" s="18" t="s">
        <v>36</v>
      </c>
      <c r="C15" s="14" t="s">
        <v>37</v>
      </c>
      <c r="D15" s="10"/>
    </row>
    <row r="16" spans="1:4">
      <c r="A16" s="9"/>
      <c r="B16" s="18" t="s">
        <v>56</v>
      </c>
      <c r="C16" s="14" t="s">
        <v>18</v>
      </c>
      <c r="D16" s="10"/>
    </row>
    <row r="17" spans="1:4">
      <c r="A17" s="9"/>
      <c r="B17" s="18" t="s">
        <v>29</v>
      </c>
      <c r="C17" s="14" t="s">
        <v>253</v>
      </c>
      <c r="D17" s="10"/>
    </row>
    <row r="18" spans="1:4">
      <c r="A18" s="9"/>
      <c r="B18" s="18" t="s">
        <v>47</v>
      </c>
      <c r="C18" s="14" t="s">
        <v>262</v>
      </c>
      <c r="D18" s="10"/>
    </row>
    <row r="19" spans="1:4">
      <c r="A19" s="9"/>
      <c r="B19" s="18" t="s">
        <v>30</v>
      </c>
      <c r="C19" s="14" t="s">
        <v>18</v>
      </c>
      <c r="D19" s="10"/>
    </row>
    <row r="20" spans="1:4">
      <c r="A20" s="9"/>
      <c r="B20" s="18" t="str">
        <f>IF(C19="ANO","      - jejich druh:","")</f>
        <v/>
      </c>
      <c r="C20" s="12"/>
      <c r="D20" s="10"/>
    </row>
    <row r="21" spans="1:4">
      <c r="A21" s="9"/>
      <c r="B21" s="18" t="str">
        <f>IF(C19="ANO","      - zákonnost zpracování:","")</f>
        <v/>
      </c>
      <c r="C21" s="12"/>
      <c r="D21" s="10"/>
    </row>
    <row r="22" spans="1:4">
      <c r="A22" s="9"/>
      <c r="B22" s="18" t="s">
        <v>31</v>
      </c>
      <c r="C22" s="14" t="s">
        <v>18</v>
      </c>
      <c r="D22" s="10"/>
    </row>
    <row r="23" spans="1:4">
      <c r="A23" s="9"/>
      <c r="B23" s="24" t="s">
        <v>48</v>
      </c>
      <c r="C23" s="14" t="s">
        <v>254</v>
      </c>
      <c r="D23" s="10"/>
    </row>
    <row r="24" spans="1:4">
      <c r="A24" s="9"/>
      <c r="B24" s="24" t="s">
        <v>49</v>
      </c>
      <c r="C24" s="14" t="s">
        <v>263</v>
      </c>
      <c r="D24" s="10"/>
    </row>
    <row r="25" spans="1:4">
      <c r="A25" s="9"/>
      <c r="B25" s="24" t="s">
        <v>53</v>
      </c>
      <c r="C25" s="14" t="s">
        <v>18</v>
      </c>
      <c r="D25" s="10"/>
    </row>
    <row r="26" spans="1:4">
      <c r="A26" s="9"/>
      <c r="B26" s="24" t="s">
        <v>60</v>
      </c>
      <c r="C26" s="14" t="s">
        <v>255</v>
      </c>
      <c r="D26" s="10"/>
    </row>
    <row r="27" spans="1:4" ht="30">
      <c r="A27" s="9"/>
      <c r="B27" s="18" t="s">
        <v>61</v>
      </c>
      <c r="C27" s="14" t="s">
        <v>256</v>
      </c>
      <c r="D27" s="10"/>
    </row>
    <row r="28" spans="1:4">
      <c r="A28" s="9"/>
      <c r="B28" s="18" t="s">
        <v>51</v>
      </c>
      <c r="C28" s="14"/>
      <c r="D28" s="10"/>
    </row>
    <row r="29" spans="1:4">
      <c r="A29" s="9"/>
      <c r="B29" s="18" t="s">
        <v>52</v>
      </c>
      <c r="C29" s="14" t="s">
        <v>18</v>
      </c>
      <c r="D29" s="10"/>
    </row>
    <row r="30" spans="1:4">
      <c r="A30" s="9"/>
      <c r="B30" s="18" t="s">
        <v>62</v>
      </c>
      <c r="C30" s="14" t="s">
        <v>18</v>
      </c>
      <c r="D30" s="10"/>
    </row>
    <row r="31" spans="1:4">
      <c r="A31" s="9"/>
      <c r="B31" s="18" t="s">
        <v>63</v>
      </c>
      <c r="C31" s="14" t="s">
        <v>18</v>
      </c>
      <c r="D31" s="10"/>
    </row>
    <row r="32" spans="1:4">
      <c r="A32" s="9"/>
      <c r="B32" s="18" t="s">
        <v>46</v>
      </c>
      <c r="C32" s="14" t="s">
        <v>18</v>
      </c>
      <c r="D32" s="10"/>
    </row>
    <row r="33" spans="1:4" ht="6.75" customHeight="1">
      <c r="B33" s="19"/>
      <c r="C33" s="12"/>
    </row>
    <row r="34" spans="1:4">
      <c r="A34" s="9"/>
      <c r="B34" s="18" t="s">
        <v>16</v>
      </c>
      <c r="C34" s="15" t="s">
        <v>18</v>
      </c>
      <c r="D34" s="10"/>
    </row>
    <row r="35" spans="1:4">
      <c r="A35" s="9"/>
      <c r="B35" s="20" t="str">
        <f>IF(C34="ANO","Počet zpracovatelů:"," ")</f>
        <v xml:space="preserve"> </v>
      </c>
      <c r="C35" s="16"/>
      <c r="D35" s="10"/>
    </row>
    <row r="36" spans="1:4" ht="6.75" customHeight="1">
      <c r="B36" s="19"/>
      <c r="C36" s="12">
        <v>3</v>
      </c>
    </row>
    <row r="37" spans="1:4">
      <c r="B37" s="18" t="str">
        <f>IF(C35&gt;0,"ZPRACOVATEL 1"," ")</f>
        <v xml:space="preserve"> </v>
      </c>
      <c r="C37" s="12"/>
    </row>
    <row r="38" spans="1:4">
      <c r="A38" s="9"/>
      <c r="B38" s="18" t="str">
        <f>IF(C35&gt;0,"Firma (název) zpracovatele:"," ")</f>
        <v xml:space="preserve"> </v>
      </c>
      <c r="C38" s="14" t="str">
        <f t="shared" ref="C38:C43" si="0">IF(B38=" "," ","")</f>
        <v xml:space="preserve"> </v>
      </c>
      <c r="D38" s="10"/>
    </row>
    <row r="39" spans="1:4">
      <c r="A39" s="9"/>
      <c r="B39" s="18" t="str">
        <f>IF(C35&gt;0,"se sídlem:"," ")</f>
        <v xml:space="preserve"> </v>
      </c>
      <c r="C39" s="14" t="str">
        <f t="shared" si="0"/>
        <v xml:space="preserve"> </v>
      </c>
      <c r="D39" s="10"/>
    </row>
    <row r="40" spans="1:4">
      <c r="A40" s="9"/>
      <c r="B40" s="18" t="str">
        <f>IF(C35&gt;0,"IČ:"," ")</f>
        <v xml:space="preserve"> </v>
      </c>
      <c r="C40" s="14" t="str">
        <f t="shared" si="0"/>
        <v xml:space="preserve"> </v>
      </c>
      <c r="D40" s="10"/>
    </row>
    <row r="41" spans="1:4">
      <c r="A41" s="9"/>
      <c r="B41" s="18" t="str">
        <f>IF(C35&gt;0,"odpovědná osoba:"," ")</f>
        <v xml:space="preserve"> </v>
      </c>
      <c r="C41" s="14" t="str">
        <f t="shared" si="0"/>
        <v xml:space="preserve"> </v>
      </c>
      <c r="D41" s="10"/>
    </row>
    <row r="42" spans="1:4">
      <c r="A42" s="9"/>
      <c r="B42" s="18" t="str">
        <f>IF(C35&gt;0,"e-mail:"," ")</f>
        <v xml:space="preserve"> </v>
      </c>
      <c r="C42" s="14" t="str">
        <f t="shared" si="0"/>
        <v xml:space="preserve"> </v>
      </c>
      <c r="D42" s="10"/>
    </row>
    <row r="43" spans="1:4">
      <c r="A43" s="9"/>
      <c r="B43" s="18" t="str">
        <f>IF(C35&gt;0,"telefon:"," ")</f>
        <v xml:space="preserve"> </v>
      </c>
      <c r="C43" s="14" t="str">
        <f t="shared" si="0"/>
        <v xml:space="preserve"> </v>
      </c>
      <c r="D43" s="10"/>
    </row>
    <row r="44" spans="1:4">
      <c r="A44" s="9"/>
      <c r="B44" s="18" t="str">
        <f>IF(C35&gt;0,"Smlouva o zpracování OÚ:"," ")</f>
        <v xml:space="preserve"> </v>
      </c>
      <c r="C44" s="14" t="s">
        <v>25</v>
      </c>
      <c r="D44" s="10"/>
    </row>
    <row r="45" spans="1:4">
      <c r="A45" s="9"/>
      <c r="B45" s="18" t="str">
        <f>IF(AND(C35&gt;0,C44=Data!C5),"Právní předpis:"," ")</f>
        <v xml:space="preserve"> </v>
      </c>
      <c r="C45" s="14" t="str">
        <f>IF(B45=" "," ","")</f>
        <v xml:space="preserve"> </v>
      </c>
      <c r="D45" s="10"/>
    </row>
    <row r="46" spans="1:4" ht="6.75" customHeight="1">
      <c r="B46" s="19"/>
      <c r="C46" s="12">
        <v>3</v>
      </c>
    </row>
    <row r="47" spans="1:4">
      <c r="B47" s="18" t="str">
        <f>IF(C35&gt;1,"ZPRACOVATEL 2"," ")</f>
        <v xml:space="preserve"> </v>
      </c>
      <c r="C47" s="12"/>
    </row>
    <row r="48" spans="1:4">
      <c r="A48" s="9"/>
      <c r="B48" s="18" t="str">
        <f>IF(C35&gt;1,"Firma (název) zpracovatele:"," ")</f>
        <v xml:space="preserve"> </v>
      </c>
      <c r="C48" s="14" t="str">
        <f t="shared" ref="C48:C53" si="1">IF(B48=" "," ","")</f>
        <v xml:space="preserve"> </v>
      </c>
      <c r="D48" s="10"/>
    </row>
    <row r="49" spans="1:4">
      <c r="A49" s="9"/>
      <c r="B49" s="18" t="str">
        <f>IF(C35&gt;1,"se sídlem:"," ")</f>
        <v xml:space="preserve"> </v>
      </c>
      <c r="C49" s="14" t="str">
        <f t="shared" si="1"/>
        <v xml:space="preserve"> </v>
      </c>
      <c r="D49" s="10"/>
    </row>
    <row r="50" spans="1:4">
      <c r="A50" s="9"/>
      <c r="B50" s="18" t="str">
        <f>IF(C35&gt;1,"IČ:"," ")</f>
        <v xml:space="preserve"> </v>
      </c>
      <c r="C50" s="14" t="str">
        <f t="shared" si="1"/>
        <v xml:space="preserve"> </v>
      </c>
      <c r="D50" s="10"/>
    </row>
    <row r="51" spans="1:4">
      <c r="A51" s="9"/>
      <c r="B51" s="18" t="str">
        <f>IF(C35&gt;1,"odpovědná osoba:"," ")</f>
        <v xml:space="preserve"> </v>
      </c>
      <c r="C51" s="14" t="str">
        <f t="shared" si="1"/>
        <v xml:space="preserve"> </v>
      </c>
      <c r="D51" s="10"/>
    </row>
    <row r="52" spans="1:4">
      <c r="A52" s="9"/>
      <c r="B52" s="18" t="str">
        <f>IF(C35&gt;1,"e-mail:"," ")</f>
        <v xml:space="preserve"> </v>
      </c>
      <c r="C52" s="14" t="str">
        <f t="shared" si="1"/>
        <v xml:space="preserve"> </v>
      </c>
      <c r="D52" s="10"/>
    </row>
    <row r="53" spans="1:4">
      <c r="A53" s="9"/>
      <c r="B53" s="18" t="str">
        <f>IF(C35&gt;1,"telefon:"," ")</f>
        <v xml:space="preserve"> </v>
      </c>
      <c r="C53" s="14" t="str">
        <f t="shared" si="1"/>
        <v xml:space="preserve"> </v>
      </c>
      <c r="D53" s="10"/>
    </row>
    <row r="54" spans="1:4">
      <c r="A54" s="9"/>
      <c r="B54" s="18" t="str">
        <f>IF(C35&gt;1,"Smlouva o zpracování OÚ:"," ")</f>
        <v xml:space="preserve"> </v>
      </c>
      <c r="C54" s="14" t="s">
        <v>25</v>
      </c>
      <c r="D54" s="10"/>
    </row>
    <row r="55" spans="1:4">
      <c r="A55" s="9"/>
      <c r="B55" s="18" t="str">
        <f>IF(AND(C35&gt;1,C54=Data!C5),"Právní předpis:"," ")</f>
        <v xml:space="preserve"> </v>
      </c>
      <c r="C55" s="14" t="str">
        <f>IF(B55=" "," ","")</f>
        <v xml:space="preserve"> </v>
      </c>
      <c r="D55" s="10"/>
    </row>
    <row r="56" spans="1:4" ht="6.75" customHeight="1">
      <c r="B56" s="19"/>
      <c r="C56" s="12">
        <v>3</v>
      </c>
    </row>
    <row r="57" spans="1:4">
      <c r="B57" s="18" t="str">
        <f>IF(C35&gt;2,"ZPRACOVATEL 3"," ")</f>
        <v xml:space="preserve"> </v>
      </c>
      <c r="C57" s="12"/>
    </row>
    <row r="58" spans="1:4">
      <c r="A58" s="9"/>
      <c r="B58" s="18" t="str">
        <f>IF(C35&gt;2,"Firma (název) zpracovatele:"," ")</f>
        <v xml:space="preserve"> </v>
      </c>
      <c r="C58" s="14" t="str">
        <f t="shared" ref="C58:C63" si="2">IF(B58=" "," ","")</f>
        <v xml:space="preserve"> </v>
      </c>
      <c r="D58" s="10"/>
    </row>
    <row r="59" spans="1:4">
      <c r="A59" s="9"/>
      <c r="B59" s="18" t="str">
        <f>IF(C35&gt;2,"se sídlem:"," ")</f>
        <v xml:space="preserve"> </v>
      </c>
      <c r="C59" s="14" t="str">
        <f t="shared" si="2"/>
        <v xml:space="preserve"> </v>
      </c>
      <c r="D59" s="10"/>
    </row>
    <row r="60" spans="1:4">
      <c r="A60" s="9"/>
      <c r="B60" s="18" t="str">
        <f>IF(C35&gt;2,"IČ:"," ")</f>
        <v xml:space="preserve"> </v>
      </c>
      <c r="C60" s="14" t="str">
        <f t="shared" si="2"/>
        <v xml:space="preserve"> </v>
      </c>
      <c r="D60" s="10"/>
    </row>
    <row r="61" spans="1:4">
      <c r="A61" s="9"/>
      <c r="B61" s="18" t="str">
        <f>IF(C35&gt;2,"odpovědná osoba:"," ")</f>
        <v xml:space="preserve"> </v>
      </c>
      <c r="C61" s="14" t="str">
        <f t="shared" si="2"/>
        <v xml:space="preserve"> </v>
      </c>
      <c r="D61" s="10"/>
    </row>
    <row r="62" spans="1:4">
      <c r="A62" s="9"/>
      <c r="B62" s="18" t="str">
        <f>IF(C35&gt;2,"e-mail:"," ")</f>
        <v xml:space="preserve"> </v>
      </c>
      <c r="C62" s="14" t="str">
        <f t="shared" si="2"/>
        <v xml:space="preserve"> </v>
      </c>
      <c r="D62" s="10"/>
    </row>
    <row r="63" spans="1:4">
      <c r="A63" s="9"/>
      <c r="B63" s="18" t="str">
        <f>IF(C35&gt;2,"telefon:"," ")</f>
        <v xml:space="preserve"> </v>
      </c>
      <c r="C63" s="14" t="str">
        <f t="shared" si="2"/>
        <v xml:space="preserve"> </v>
      </c>
      <c r="D63" s="10"/>
    </row>
    <row r="64" spans="1:4">
      <c r="A64" s="9"/>
      <c r="B64" s="18" t="str">
        <f>IF(C35&gt;2,"Smlouva o zpracování OÚ:"," ")</f>
        <v xml:space="preserve"> </v>
      </c>
      <c r="C64" s="14" t="s">
        <v>25</v>
      </c>
      <c r="D64" s="10"/>
    </row>
    <row r="65" spans="1:4">
      <c r="A65" s="9"/>
      <c r="B65" s="18" t="str">
        <f>IF(AND(C35&gt;2,C64=Data!C5),"Právní předpis:"," ")</f>
        <v xml:space="preserve"> </v>
      </c>
      <c r="C65" s="14" t="str">
        <f>IF(B65=" "," ","")</f>
        <v xml:space="preserve"> </v>
      </c>
      <c r="D65" s="10"/>
    </row>
    <row r="66" spans="1:4" ht="6.75" customHeight="1">
      <c r="B66" s="19"/>
      <c r="C66" s="12">
        <v>3</v>
      </c>
    </row>
    <row r="67" spans="1:4">
      <c r="B67" s="18" t="str">
        <f>IF(C35&gt;3,"ZPRACOVATEL 4"," ")</f>
        <v xml:space="preserve"> </v>
      </c>
      <c r="C67" s="12"/>
    </row>
    <row r="68" spans="1:4">
      <c r="A68" s="9"/>
      <c r="B68" s="18" t="str">
        <f>IF(C35&gt;3,"Firma (název) zpracovatele:"," ")</f>
        <v xml:space="preserve"> </v>
      </c>
      <c r="C68" s="14" t="str">
        <f t="shared" ref="C68:C73" si="3">IF(B68=" "," ","")</f>
        <v xml:space="preserve"> </v>
      </c>
      <c r="D68" s="10"/>
    </row>
    <row r="69" spans="1:4">
      <c r="A69" s="9"/>
      <c r="B69" s="18" t="str">
        <f>IF(C35&gt;3,"se sídlem:"," ")</f>
        <v xml:space="preserve"> </v>
      </c>
      <c r="C69" s="14" t="str">
        <f t="shared" si="3"/>
        <v xml:space="preserve"> </v>
      </c>
      <c r="D69" s="10"/>
    </row>
    <row r="70" spans="1:4">
      <c r="A70" s="9"/>
      <c r="B70" s="18" t="str">
        <f>IF(C35&gt;3,"IČ:"," ")</f>
        <v xml:space="preserve"> </v>
      </c>
      <c r="C70" s="14" t="str">
        <f t="shared" si="3"/>
        <v xml:space="preserve"> </v>
      </c>
      <c r="D70" s="10"/>
    </row>
    <row r="71" spans="1:4">
      <c r="A71" s="9"/>
      <c r="B71" s="18" t="str">
        <f>IF(C35&gt;3,"odpovědná osoba:"," ")</f>
        <v xml:space="preserve"> </v>
      </c>
      <c r="C71" s="14" t="str">
        <f t="shared" si="3"/>
        <v xml:space="preserve"> </v>
      </c>
      <c r="D71" s="10"/>
    </row>
    <row r="72" spans="1:4">
      <c r="A72" s="9"/>
      <c r="B72" s="18" t="str">
        <f>IF(C35&gt;3,"e-mail:"," ")</f>
        <v xml:space="preserve"> </v>
      </c>
      <c r="C72" s="14" t="str">
        <f t="shared" si="3"/>
        <v xml:space="preserve"> </v>
      </c>
      <c r="D72" s="10"/>
    </row>
    <row r="73" spans="1:4">
      <c r="A73" s="9"/>
      <c r="B73" s="18" t="str">
        <f>IF(C35&gt;3,"telefon:"," ")</f>
        <v xml:space="preserve"> </v>
      </c>
      <c r="C73" s="14" t="str">
        <f t="shared" si="3"/>
        <v xml:space="preserve"> </v>
      </c>
      <c r="D73" s="10"/>
    </row>
    <row r="74" spans="1:4">
      <c r="A74" s="9"/>
      <c r="B74" s="18" t="str">
        <f>IF(C35&gt;3,"Smlouva o zpracování OÚ:"," ")</f>
        <v xml:space="preserve"> </v>
      </c>
      <c r="C74" s="14" t="s">
        <v>25</v>
      </c>
      <c r="D74" s="10"/>
    </row>
    <row r="75" spans="1:4">
      <c r="A75" s="9"/>
      <c r="B75" s="18" t="str">
        <f>IF(AND(C35&gt;3,C74=Data!C35),"Právní předpis:"," ")</f>
        <v xml:space="preserve"> </v>
      </c>
      <c r="C75" s="14" t="str">
        <f>IF(B75=" "," ","")</f>
        <v xml:space="preserve"> </v>
      </c>
      <c r="D75" s="10"/>
    </row>
    <row r="76" spans="1:4" ht="6.75" customHeight="1">
      <c r="B76" s="19"/>
      <c r="C76" s="12">
        <v>3</v>
      </c>
    </row>
    <row r="77" spans="1:4">
      <c r="B77" s="18" t="str">
        <f>IF(C35&gt;4,"ZPRACOVATEL 5"," ")</f>
        <v xml:space="preserve"> </v>
      </c>
      <c r="C77" s="12"/>
    </row>
    <row r="78" spans="1:4">
      <c r="A78" s="9"/>
      <c r="B78" s="18" t="str">
        <f>IF(C35&gt;4,"Firma (název) zpracovatele:"," ")</f>
        <v xml:space="preserve"> </v>
      </c>
      <c r="C78" s="14" t="str">
        <f t="shared" ref="C78:C83" si="4">IF(B78=" "," ","")</f>
        <v xml:space="preserve"> </v>
      </c>
      <c r="D78" s="10"/>
    </row>
    <row r="79" spans="1:4">
      <c r="A79" s="9"/>
      <c r="B79" s="18" t="str">
        <f>IF(C35&gt;4,"se sídlem:"," ")</f>
        <v xml:space="preserve"> </v>
      </c>
      <c r="C79" s="14" t="str">
        <f t="shared" si="4"/>
        <v xml:space="preserve"> </v>
      </c>
      <c r="D79" s="10"/>
    </row>
    <row r="80" spans="1:4">
      <c r="A80" s="9"/>
      <c r="B80" s="18" t="str">
        <f>IF(C35&gt;4,"IČ:"," ")</f>
        <v xml:space="preserve"> </v>
      </c>
      <c r="C80" s="14" t="str">
        <f t="shared" si="4"/>
        <v xml:space="preserve"> </v>
      </c>
      <c r="D80" s="10"/>
    </row>
    <row r="81" spans="1:4">
      <c r="A81" s="9"/>
      <c r="B81" s="18" t="str">
        <f>IF(C35&gt;4,"odpovědná osoba:"," ")</f>
        <v xml:space="preserve"> </v>
      </c>
      <c r="C81" s="14" t="str">
        <f t="shared" si="4"/>
        <v xml:space="preserve"> </v>
      </c>
      <c r="D81" s="10"/>
    </row>
    <row r="82" spans="1:4">
      <c r="A82" s="9"/>
      <c r="B82" s="18" t="str">
        <f>IF(C35&gt;4,"e-mail:"," ")</f>
        <v xml:space="preserve"> </v>
      </c>
      <c r="C82" s="14" t="str">
        <f t="shared" si="4"/>
        <v xml:space="preserve"> </v>
      </c>
      <c r="D82" s="10"/>
    </row>
    <row r="83" spans="1:4">
      <c r="A83" s="9"/>
      <c r="B83" s="18" t="str">
        <f>IF(C35&gt;4,"telefon:"," ")</f>
        <v xml:space="preserve"> </v>
      </c>
      <c r="C83" s="14" t="str">
        <f t="shared" si="4"/>
        <v xml:space="preserve"> </v>
      </c>
      <c r="D83" s="10"/>
    </row>
    <row r="84" spans="1:4">
      <c r="A84" s="9"/>
      <c r="B84" s="18" t="str">
        <f>IF(C35&gt;4,"Smlouva o zpracování OÚ:"," ")</f>
        <v xml:space="preserve"> </v>
      </c>
      <c r="C84" s="14" t="s">
        <v>25</v>
      </c>
      <c r="D84" s="10"/>
    </row>
    <row r="85" spans="1:4">
      <c r="A85" s="9"/>
      <c r="B85" s="18" t="str">
        <f>IF(AND(C35&gt;4,C84=Data!C45),"Právní předpis:"," ")</f>
        <v xml:space="preserve"> </v>
      </c>
      <c r="C85" s="14" t="str">
        <f>IF(B85=" "," ","")</f>
        <v xml:space="preserve"> </v>
      </c>
      <c r="D85" s="10"/>
    </row>
  </sheetData>
  <conditionalFormatting sqref="B38">
    <cfRule type="cellIs" dxfId="166" priority="84" operator="equal">
      <formula>" "</formula>
    </cfRule>
  </conditionalFormatting>
  <conditionalFormatting sqref="B40:C45 B39">
    <cfRule type="cellIs" dxfId="165" priority="83" operator="equal">
      <formula>" "</formula>
    </cfRule>
  </conditionalFormatting>
  <conditionalFormatting sqref="B35">
    <cfRule type="cellIs" dxfId="164" priority="82" operator="equal">
      <formula>" "</formula>
    </cfRule>
  </conditionalFormatting>
  <conditionalFormatting sqref="B37">
    <cfRule type="cellIs" dxfId="163" priority="81" operator="equal">
      <formula>" "</formula>
    </cfRule>
  </conditionalFormatting>
  <conditionalFormatting sqref="C40:C45">
    <cfRule type="cellIs" dxfId="162" priority="75" operator="equal">
      <formula>" "</formula>
    </cfRule>
    <cfRule type="cellIs" dxfId="161" priority="80" operator="equal">
      <formula>" "</formula>
    </cfRule>
  </conditionalFormatting>
  <conditionalFormatting sqref="C40">
    <cfRule type="cellIs" dxfId="160" priority="79" operator="equal">
      <formula>" "</formula>
    </cfRule>
  </conditionalFormatting>
  <conditionalFormatting sqref="C41">
    <cfRule type="cellIs" dxfId="159" priority="78" operator="equal">
      <formula>" "</formula>
    </cfRule>
  </conditionalFormatting>
  <conditionalFormatting sqref="C42">
    <cfRule type="cellIs" dxfId="158" priority="77" operator="equal">
      <formula>" "</formula>
    </cfRule>
  </conditionalFormatting>
  <conditionalFormatting sqref="C43">
    <cfRule type="cellIs" dxfId="157" priority="76" operator="equal">
      <formula>" "</formula>
    </cfRule>
  </conditionalFormatting>
  <conditionalFormatting sqref="C35">
    <cfRule type="expression" dxfId="156" priority="74">
      <formula>$B$35="Počet zpracovatelů:"</formula>
    </cfRule>
  </conditionalFormatting>
  <conditionalFormatting sqref="C44">
    <cfRule type="expression" dxfId="155" priority="73">
      <formula>$B$44="Smlouva o zpracování OÚ:"</formula>
    </cfRule>
  </conditionalFormatting>
  <conditionalFormatting sqref="B48:C48">
    <cfRule type="cellIs" dxfId="154" priority="72" operator="equal">
      <formula>" "</formula>
    </cfRule>
  </conditionalFormatting>
  <conditionalFormatting sqref="B49:C53 B55:C55 B54">
    <cfRule type="cellIs" dxfId="153" priority="71" operator="equal">
      <formula>" "</formula>
    </cfRule>
  </conditionalFormatting>
  <conditionalFormatting sqref="B47">
    <cfRule type="cellIs" dxfId="152" priority="70" operator="equal">
      <formula>" "</formula>
    </cfRule>
  </conditionalFormatting>
  <conditionalFormatting sqref="C48:C53 C55">
    <cfRule type="cellIs" dxfId="151" priority="63" operator="equal">
      <formula>" "</formula>
    </cfRule>
    <cfRule type="cellIs" dxfId="150" priority="69" operator="equal">
      <formula>" "</formula>
    </cfRule>
  </conditionalFormatting>
  <conditionalFormatting sqref="C49">
    <cfRule type="cellIs" dxfId="149" priority="68" operator="equal">
      <formula>" "</formula>
    </cfRule>
  </conditionalFormatting>
  <conditionalFormatting sqref="C50">
    <cfRule type="cellIs" dxfId="148" priority="67" operator="equal">
      <formula>" "</formula>
    </cfRule>
  </conditionalFormatting>
  <conditionalFormatting sqref="C51">
    <cfRule type="cellIs" dxfId="147" priority="66" operator="equal">
      <formula>" "</formula>
    </cfRule>
  </conditionalFormatting>
  <conditionalFormatting sqref="C52">
    <cfRule type="cellIs" dxfId="146" priority="65" operator="equal">
      <formula>" "</formula>
    </cfRule>
  </conditionalFormatting>
  <conditionalFormatting sqref="C53">
    <cfRule type="cellIs" dxfId="145" priority="64" operator="equal">
      <formula>" "</formula>
    </cfRule>
  </conditionalFormatting>
  <conditionalFormatting sqref="B58:C58">
    <cfRule type="cellIs" dxfId="144" priority="62" operator="equal">
      <formula>" "</formula>
    </cfRule>
  </conditionalFormatting>
  <conditionalFormatting sqref="B59:C65">
    <cfRule type="cellIs" dxfId="143" priority="61" operator="equal">
      <formula>" "</formula>
    </cfRule>
  </conditionalFormatting>
  <conditionalFormatting sqref="B57">
    <cfRule type="cellIs" dxfId="142" priority="60" operator="equal">
      <formula>" "</formula>
    </cfRule>
  </conditionalFormatting>
  <conditionalFormatting sqref="C58:C65">
    <cfRule type="cellIs" dxfId="141" priority="53" operator="equal">
      <formula>" "</formula>
    </cfRule>
    <cfRule type="cellIs" dxfId="140" priority="59" operator="equal">
      <formula>" "</formula>
    </cfRule>
  </conditionalFormatting>
  <conditionalFormatting sqref="C59">
    <cfRule type="cellIs" dxfId="139" priority="58" operator="equal">
      <formula>" "</formula>
    </cfRule>
  </conditionalFormatting>
  <conditionalFormatting sqref="C60">
    <cfRule type="cellIs" dxfId="138" priority="57" operator="equal">
      <formula>" "</formula>
    </cfRule>
  </conditionalFormatting>
  <conditionalFormatting sqref="C61">
    <cfRule type="cellIs" dxfId="137" priority="56" operator="equal">
      <formula>" "</formula>
    </cfRule>
  </conditionalFormatting>
  <conditionalFormatting sqref="C62">
    <cfRule type="cellIs" dxfId="136" priority="55" operator="equal">
      <formula>" "</formula>
    </cfRule>
  </conditionalFormatting>
  <conditionalFormatting sqref="C63">
    <cfRule type="cellIs" dxfId="135" priority="54" operator="equal">
      <formula>" "</formula>
    </cfRule>
  </conditionalFormatting>
  <conditionalFormatting sqref="C64">
    <cfRule type="expression" dxfId="134" priority="52">
      <formula>$B$64="Smlouva o zpracování OÚ:"</formula>
    </cfRule>
  </conditionalFormatting>
  <conditionalFormatting sqref="B68:C68">
    <cfRule type="cellIs" dxfId="133" priority="51" operator="equal">
      <formula>" "</formula>
    </cfRule>
  </conditionalFormatting>
  <conditionalFormatting sqref="B69:C75">
    <cfRule type="cellIs" dxfId="132" priority="50" operator="equal">
      <formula>" "</formula>
    </cfRule>
  </conditionalFormatting>
  <conditionalFormatting sqref="B67">
    <cfRule type="cellIs" dxfId="131" priority="49" operator="equal">
      <formula>" "</formula>
    </cfRule>
  </conditionalFormatting>
  <conditionalFormatting sqref="C68:C75">
    <cfRule type="cellIs" dxfId="130" priority="42" operator="equal">
      <formula>" "</formula>
    </cfRule>
    <cfRule type="cellIs" dxfId="129" priority="48" operator="equal">
      <formula>" "</formula>
    </cfRule>
  </conditionalFormatting>
  <conditionalFormatting sqref="C69">
    <cfRule type="cellIs" dxfId="128" priority="47" operator="equal">
      <formula>" "</formula>
    </cfRule>
  </conditionalFormatting>
  <conditionalFormatting sqref="C70">
    <cfRule type="cellIs" dxfId="127" priority="46" operator="equal">
      <formula>" "</formula>
    </cfRule>
  </conditionalFormatting>
  <conditionalFormatting sqref="C71">
    <cfRule type="cellIs" dxfId="126" priority="45" operator="equal">
      <formula>" "</formula>
    </cfRule>
  </conditionalFormatting>
  <conditionalFormatting sqref="C72">
    <cfRule type="cellIs" dxfId="125" priority="44" operator="equal">
      <formula>" "</formula>
    </cfRule>
  </conditionalFormatting>
  <conditionalFormatting sqref="C73">
    <cfRule type="cellIs" dxfId="124" priority="43" operator="equal">
      <formula>" "</formula>
    </cfRule>
  </conditionalFormatting>
  <conditionalFormatting sqref="C74">
    <cfRule type="expression" dxfId="123" priority="41">
      <formula>$B$74="Smlouva o zpracování OÚ:"</formula>
    </cfRule>
  </conditionalFormatting>
  <conditionalFormatting sqref="B78:C78">
    <cfRule type="cellIs" dxfId="122" priority="40" operator="equal">
      <formula>" "</formula>
    </cfRule>
  </conditionalFormatting>
  <conditionalFormatting sqref="B79:C85">
    <cfRule type="cellIs" dxfId="121" priority="39" operator="equal">
      <formula>" "</formula>
    </cfRule>
  </conditionalFormatting>
  <conditionalFormatting sqref="B77">
    <cfRule type="cellIs" dxfId="120" priority="38" operator="equal">
      <formula>" "</formula>
    </cfRule>
  </conditionalFormatting>
  <conditionalFormatting sqref="C78:C85">
    <cfRule type="cellIs" dxfId="119" priority="31" operator="equal">
      <formula>" "</formula>
    </cfRule>
    <cfRule type="cellIs" dxfId="118" priority="37" operator="equal">
      <formula>" "</formula>
    </cfRule>
  </conditionalFormatting>
  <conditionalFormatting sqref="C79">
    <cfRule type="cellIs" dxfId="117" priority="36" operator="equal">
      <formula>" "</formula>
    </cfRule>
  </conditionalFormatting>
  <conditionalFormatting sqref="C80">
    <cfRule type="cellIs" dxfId="116" priority="35" operator="equal">
      <formula>" "</formula>
    </cfRule>
  </conditionalFormatting>
  <conditionalFormatting sqref="C81">
    <cfRule type="cellIs" dxfId="115" priority="34" operator="equal">
      <formula>" "</formula>
    </cfRule>
  </conditionalFormatting>
  <conditionalFormatting sqref="C82">
    <cfRule type="cellIs" dxfId="114" priority="33" operator="equal">
      <formula>" "</formula>
    </cfRule>
  </conditionalFormatting>
  <conditionalFormatting sqref="C83">
    <cfRule type="cellIs" dxfId="113" priority="32" operator="equal">
      <formula>" "</formula>
    </cfRule>
  </conditionalFormatting>
  <conditionalFormatting sqref="C84">
    <cfRule type="expression" dxfId="112" priority="30">
      <formula>$B$84="Smlouva o zpracování OÚ:"</formula>
    </cfRule>
  </conditionalFormatting>
  <conditionalFormatting sqref="C54">
    <cfRule type="cellIs" dxfId="111" priority="29" operator="equal">
      <formula>" "</formula>
    </cfRule>
  </conditionalFormatting>
  <conditionalFormatting sqref="C54">
    <cfRule type="cellIs" dxfId="110" priority="27" operator="equal">
      <formula>" "</formula>
    </cfRule>
    <cfRule type="cellIs" dxfId="109" priority="28" operator="equal">
      <formula>" "</formula>
    </cfRule>
  </conditionalFormatting>
  <conditionalFormatting sqref="C54">
    <cfRule type="expression" dxfId="108" priority="26">
      <formula>$B$54="Smlouva o zpracování OÚ:"</formula>
    </cfRule>
  </conditionalFormatting>
  <conditionalFormatting sqref="C38">
    <cfRule type="cellIs" dxfId="107" priority="25" operator="equal">
      <formula>" "</formula>
    </cfRule>
  </conditionalFormatting>
  <conditionalFormatting sqref="C39">
    <cfRule type="cellIs" dxfId="106" priority="24" operator="equal">
      <formula>" "</formula>
    </cfRule>
  </conditionalFormatting>
  <conditionalFormatting sqref="C38:C39">
    <cfRule type="cellIs" dxfId="105" priority="21" operator="equal">
      <formula>" "</formula>
    </cfRule>
    <cfRule type="cellIs" dxfId="104" priority="23" operator="equal">
      <formula>" "</formula>
    </cfRule>
  </conditionalFormatting>
  <conditionalFormatting sqref="C39">
    <cfRule type="cellIs" dxfId="103" priority="22" operator="equal">
      <formula>" "</formula>
    </cfRule>
  </conditionalFormatting>
  <conditionalFormatting sqref="C22">
    <cfRule type="cellIs" dxfId="102" priority="19" operator="equal">
      <formula>"NEVÍM"</formula>
    </cfRule>
    <cfRule type="cellIs" dxfId="101" priority="20" operator="equal">
      <formula>"ANO"</formula>
    </cfRule>
  </conditionalFormatting>
  <conditionalFormatting sqref="C20">
    <cfRule type="expression" dxfId="100" priority="18">
      <formula>$B$20="      - jejich druh:"</formula>
    </cfRule>
  </conditionalFormatting>
  <conditionalFormatting sqref="C21">
    <cfRule type="expression" dxfId="99" priority="17">
      <formula>$B$20="      - jejich druh:"</formula>
    </cfRule>
  </conditionalFormatting>
  <conditionalFormatting sqref="C19">
    <cfRule type="cellIs" dxfId="98" priority="16" operator="equal">
      <formula>"NEVÍM"</formula>
    </cfRule>
  </conditionalFormatting>
  <conditionalFormatting sqref="C32">
    <cfRule type="cellIs" dxfId="97" priority="14" operator="equal">
      <formula>"NEVÍM"</formula>
    </cfRule>
    <cfRule type="cellIs" dxfId="96" priority="15" operator="equal">
      <formula>"ANO"</formula>
    </cfRule>
  </conditionalFormatting>
  <conditionalFormatting sqref="C29">
    <cfRule type="cellIs" dxfId="95" priority="12" operator="equal">
      <formula>"NEVÍM"</formula>
    </cfRule>
    <cfRule type="cellIs" dxfId="94" priority="13" operator="equal">
      <formula>"ANO"</formula>
    </cfRule>
  </conditionalFormatting>
  <conditionalFormatting sqref="C31">
    <cfRule type="expression" dxfId="93" priority="2">
      <formula>$C$30="NE"</formula>
    </cfRule>
  </conditionalFormatting>
  <conditionalFormatting sqref="B31">
    <cfRule type="expression" dxfId="92" priority="1">
      <formula>$C$30="NE"</formula>
    </cfRule>
  </conditionalFormatting>
  <dataValidations count="1">
    <dataValidation type="whole" allowBlank="1" showInputMessage="1" showErrorMessage="1" sqref="C46:C47 C56:C57 C66:C67 C76:C77 C35:C37" xr:uid="{00000000-0002-0000-0500-000000000000}">
      <formula1>1</formula1>
      <formula2>5</formula2>
    </dataValidation>
  </dataValidations>
  <pageMargins left="0.7" right="0.7" top="0.78740157499999996" bottom="0.78740157499999996" header="0.3" footer="0.3"/>
  <pageSetup paperSize="9" orientation="landscape" r:id="rId1"/>
  <headerFooter>
    <oddFooter>&amp;CCopyright © 2017 by VIAVIS a.s.</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10" operator="equal" id="{28316DCC-9238-45CF-86AF-53EC491E4B3A}">
            <xm:f>Data!$G$4</xm:f>
            <x14:dxf>
              <fill>
                <patternFill>
                  <bgColor rgb="FFFF0000"/>
                </patternFill>
              </fill>
            </x14:dxf>
          </x14:cfRule>
          <x14:cfRule type="cellIs" priority="11" operator="equal" id="{23D2BB5A-7D88-4F4F-8C08-98481B42A675}">
            <xm:f>Data!$G$3</xm:f>
            <x14:dxf>
              <fill>
                <patternFill>
                  <bgColor rgb="FFFF0000"/>
                </patternFill>
              </fill>
            </x14:dxf>
          </x14:cfRule>
          <xm:sqref>C25</xm:sqref>
        </x14:conditionalFormatting>
        <x14:conditionalFormatting xmlns:xm="http://schemas.microsoft.com/office/excel/2006/main">
          <x14:cfRule type="cellIs" priority="6" operator="equal" id="{A219C6A3-8A38-437D-A292-E6C053350EE7}">
            <xm:f>Data!$H$5</xm:f>
            <x14:dxf>
              <fill>
                <patternFill>
                  <bgColor rgb="FFFF0000"/>
                </patternFill>
              </fill>
            </x14:dxf>
          </x14:cfRule>
          <x14:cfRule type="cellIs" priority="7" operator="equal" id="{23416F20-1EA9-4C6E-8641-E99870E303A1}">
            <xm:f>Data!$H$4</xm:f>
            <x14:dxf>
              <fill>
                <patternFill>
                  <bgColor rgb="FFFF0000"/>
                </patternFill>
              </fill>
            </x14:dxf>
          </x14:cfRule>
          <x14:cfRule type="cellIs" priority="8" operator="equal" id="{79F0706B-B7B6-45E1-9BA3-D4B206FE1339}">
            <xm:f>Data!$H$3</xm:f>
            <x14:dxf>
              <fill>
                <patternFill>
                  <bgColor rgb="FFFF0000"/>
                </patternFill>
              </fill>
            </x14:dxf>
          </x14:cfRule>
          <x14:cfRule type="cellIs" priority="9" operator="equal" id="{F1E46899-1AF3-4E03-8D59-E0D05EB26AA9}">
            <xm:f>Data!$H$2</xm:f>
            <x14:dxf>
              <fill>
                <patternFill>
                  <bgColor rgb="FFFF0000"/>
                </patternFill>
              </fill>
            </x14:dxf>
          </x14:cfRule>
          <xm:sqref>C16</xm:sqref>
        </x14:conditionalFormatting>
        <x14:conditionalFormatting xmlns:xm="http://schemas.microsoft.com/office/excel/2006/main">
          <x14:cfRule type="cellIs" priority="5" operator="equal" id="{E5C54B8D-E2F2-4ED4-8977-FF567428A81D}">
            <xm:f>Data!$B$3</xm:f>
            <x14:dxf>
              <fill>
                <patternFill>
                  <bgColor rgb="FFFF0000"/>
                </patternFill>
              </fill>
            </x14:dxf>
          </x14:cfRule>
          <xm:sqref>C30</xm:sqref>
        </x14:conditionalFormatting>
        <x14:conditionalFormatting xmlns:xm="http://schemas.microsoft.com/office/excel/2006/main">
          <x14:cfRule type="cellIs" priority="3" operator="equal" id="{102F4BCB-2C57-493D-BD72-B6BFC071BC71}">
            <xm:f>Data!$B$3</xm:f>
            <x14:dxf>
              <fill>
                <patternFill>
                  <bgColor rgb="FFFF0000"/>
                </patternFill>
              </fill>
            </x14:dxf>
          </x14:cfRule>
          <x14:cfRule type="cellIs" priority="4" operator="equal" id="{6B742D01-1D77-46D1-9493-A1751A2900F6}">
            <xm:f>Data!$B$2</xm:f>
            <x14:dxf>
              <fill>
                <patternFill>
                  <bgColor rgb="FFFF0000"/>
                </patternFill>
              </fill>
            </x14:dxf>
          </x14:cfRule>
          <xm:sqref>C31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01000000}">
          <x14:formula1>
            <xm:f>Data!$H$1:$H$5</xm:f>
          </x14:formula1>
          <xm:sqref>C16</xm:sqref>
        </x14:dataValidation>
        <x14:dataValidation type="list" allowBlank="1" showInputMessage="1" showErrorMessage="1" xr:uid="{00000000-0002-0000-0500-000002000000}">
          <x14:formula1>
            <xm:f>Data!$G$1:$G$4</xm:f>
          </x14:formula1>
          <xm:sqref>C25</xm:sqref>
        </x14:dataValidation>
        <x14:dataValidation type="list" allowBlank="1" showInputMessage="1" showErrorMessage="1" xr:uid="{00000000-0002-0000-0500-000003000000}">
          <x14:formula1>
            <xm:f>Data!$E$1:$E$3</xm:f>
          </x14:formula1>
          <xm:sqref>C15</xm:sqref>
        </x14:dataValidation>
        <x14:dataValidation type="list" allowBlank="1" showInputMessage="1" showErrorMessage="1" xr:uid="{00000000-0002-0000-0500-000004000000}">
          <x14:formula1>
            <xm:f>Data!$C$1:$C$8</xm:f>
          </x14:formula1>
          <xm:sqref>C44 C54 C64 C74 C84</xm:sqref>
        </x14:dataValidation>
        <x14:dataValidation type="list" allowBlank="1" showInputMessage="1" showErrorMessage="1" xr:uid="{00000000-0002-0000-0500-000005000000}">
          <x14:formula1>
            <xm:f>Data!$B$1:$B$3</xm:f>
          </x14:formula1>
          <xm:sqref>C19 C22 C29:C34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5"/>
  <sheetViews>
    <sheetView tabSelected="1" zoomScaleNormal="100" workbookViewId="0">
      <selection activeCell="C38" sqref="C38"/>
    </sheetView>
  </sheetViews>
  <sheetFormatPr defaultColWidth="9.140625" defaultRowHeight="15"/>
  <cols>
    <col min="1" max="1" width="3.28515625" style="6" customWidth="1"/>
    <col min="2" max="2" width="31.28515625" style="21" customWidth="1"/>
    <col min="3" max="3" width="65" style="6" customWidth="1"/>
    <col min="4" max="4" width="2.85546875" style="6" customWidth="1"/>
    <col min="5" max="16384" width="9.140625" style="6"/>
  </cols>
  <sheetData>
    <row r="1" spans="1:4">
      <c r="B1" s="17"/>
      <c r="C1" s="11"/>
    </row>
    <row r="2" spans="1:4" ht="15.75">
      <c r="A2" s="9"/>
      <c r="B2" s="18" t="s">
        <v>5</v>
      </c>
      <c r="C2" s="22" t="s">
        <v>257</v>
      </c>
      <c r="D2" s="10"/>
    </row>
    <row r="3" spans="1:4">
      <c r="A3" s="9"/>
      <c r="B3" s="18" t="s">
        <v>20</v>
      </c>
      <c r="C3" s="13" t="s">
        <v>264</v>
      </c>
      <c r="D3" s="10"/>
    </row>
    <row r="4" spans="1:4">
      <c r="A4" s="9"/>
      <c r="B4" s="18" t="s">
        <v>14</v>
      </c>
      <c r="C4" s="14" t="s">
        <v>191</v>
      </c>
      <c r="D4" s="10"/>
    </row>
    <row r="5" spans="1:4">
      <c r="A5" s="9"/>
      <c r="B5" s="18" t="s">
        <v>15</v>
      </c>
      <c r="C5" s="14"/>
      <c r="D5" s="10"/>
    </row>
    <row r="6" spans="1:4">
      <c r="A6" s="9"/>
      <c r="B6" s="18" t="s">
        <v>33</v>
      </c>
      <c r="C6" s="14"/>
      <c r="D6" s="10"/>
    </row>
    <row r="7" spans="1:4">
      <c r="A7" s="9"/>
      <c r="B7" s="18" t="s">
        <v>34</v>
      </c>
      <c r="C7" s="14"/>
      <c r="D7" s="10"/>
    </row>
    <row r="8" spans="1:4">
      <c r="A8" s="9"/>
      <c r="B8" s="18" t="s">
        <v>35</v>
      </c>
      <c r="C8" s="47"/>
      <c r="D8" s="10"/>
    </row>
    <row r="9" spans="1:4">
      <c r="A9" s="9"/>
      <c r="B9" s="18" t="s">
        <v>44</v>
      </c>
      <c r="C9" s="14" t="s">
        <v>191</v>
      </c>
      <c r="D9" s="10"/>
    </row>
    <row r="10" spans="1:4">
      <c r="A10" s="9"/>
      <c r="B10" s="18" t="s">
        <v>45</v>
      </c>
      <c r="C10" s="14" t="s">
        <v>18</v>
      </c>
      <c r="D10" s="10"/>
    </row>
    <row r="11" spans="1:4">
      <c r="B11" s="19"/>
      <c r="C11" s="12"/>
    </row>
    <row r="12" spans="1:4">
      <c r="A12" s="9"/>
      <c r="B12" s="18" t="s">
        <v>28</v>
      </c>
      <c r="C12" s="23">
        <v>50000</v>
      </c>
      <c r="D12" s="10"/>
    </row>
    <row r="13" spans="1:4">
      <c r="A13" s="9"/>
      <c r="B13" s="18" t="s">
        <v>32</v>
      </c>
      <c r="C13" s="14"/>
      <c r="D13" s="10"/>
    </row>
    <row r="14" spans="1:4">
      <c r="A14" s="9"/>
      <c r="B14" s="18" t="s">
        <v>40</v>
      </c>
      <c r="C14" s="14" t="s">
        <v>41</v>
      </c>
      <c r="D14" s="10"/>
    </row>
    <row r="15" spans="1:4">
      <c r="A15" s="9"/>
      <c r="B15" s="18" t="s">
        <v>36</v>
      </c>
      <c r="C15" s="14" t="s">
        <v>258</v>
      </c>
      <c r="D15" s="10"/>
    </row>
    <row r="16" spans="1:4">
      <c r="A16" s="9"/>
      <c r="B16" s="18" t="s">
        <v>56</v>
      </c>
      <c r="C16" s="14" t="s">
        <v>18</v>
      </c>
      <c r="D16" s="10"/>
    </row>
    <row r="17" spans="1:4">
      <c r="A17" s="9"/>
      <c r="B17" s="18" t="s">
        <v>29</v>
      </c>
      <c r="C17" s="14" t="s">
        <v>266</v>
      </c>
      <c r="D17" s="10"/>
    </row>
    <row r="18" spans="1:4">
      <c r="A18" s="9"/>
      <c r="B18" s="18" t="s">
        <v>47</v>
      </c>
      <c r="C18" s="14" t="s">
        <v>262</v>
      </c>
      <c r="D18" s="10"/>
    </row>
    <row r="19" spans="1:4">
      <c r="A19" s="9"/>
      <c r="B19" s="18" t="s">
        <v>30</v>
      </c>
      <c r="C19" s="14" t="s">
        <v>18</v>
      </c>
      <c r="D19" s="10"/>
    </row>
    <row r="20" spans="1:4">
      <c r="A20" s="9"/>
      <c r="B20" s="18" t="str">
        <f>IF(C19="ANO","      - jejich druh:","")</f>
        <v/>
      </c>
      <c r="C20" s="12"/>
      <c r="D20" s="10"/>
    </row>
    <row r="21" spans="1:4">
      <c r="A21" s="9"/>
      <c r="B21" s="18" t="str">
        <f>IF(C19="ANO","      - zákonnost zpracování:","")</f>
        <v/>
      </c>
      <c r="C21" s="12"/>
      <c r="D21" s="10"/>
    </row>
    <row r="22" spans="1:4">
      <c r="A22" s="9"/>
      <c r="B22" s="18" t="s">
        <v>31</v>
      </c>
      <c r="C22" s="14" t="s">
        <v>18</v>
      </c>
      <c r="D22" s="10"/>
    </row>
    <row r="23" spans="1:4">
      <c r="A23" s="9"/>
      <c r="B23" s="24" t="s">
        <v>48</v>
      </c>
      <c r="C23" s="14" t="s">
        <v>259</v>
      </c>
      <c r="D23" s="10"/>
    </row>
    <row r="24" spans="1:4">
      <c r="A24" s="9"/>
      <c r="B24" s="24" t="s">
        <v>49</v>
      </c>
      <c r="C24" s="14" t="s">
        <v>41</v>
      </c>
      <c r="D24" s="10"/>
    </row>
    <row r="25" spans="1:4">
      <c r="A25" s="9"/>
      <c r="B25" s="24" t="s">
        <v>53</v>
      </c>
      <c r="C25" s="14" t="s">
        <v>18</v>
      </c>
      <c r="D25" s="10"/>
    </row>
    <row r="26" spans="1:4">
      <c r="A26" s="9"/>
      <c r="B26" s="24" t="s">
        <v>60</v>
      </c>
      <c r="C26" s="14" t="s">
        <v>265</v>
      </c>
      <c r="D26" s="10"/>
    </row>
    <row r="27" spans="1:4">
      <c r="A27" s="9"/>
      <c r="B27" s="18" t="s">
        <v>61</v>
      </c>
      <c r="C27" s="14" t="s">
        <v>260</v>
      </c>
      <c r="D27" s="10"/>
    </row>
    <row r="28" spans="1:4">
      <c r="A28" s="9"/>
      <c r="B28" s="18" t="s">
        <v>51</v>
      </c>
      <c r="C28" s="14"/>
      <c r="D28" s="10"/>
    </row>
    <row r="29" spans="1:4">
      <c r="A29" s="9"/>
      <c r="B29" s="18" t="s">
        <v>52</v>
      </c>
      <c r="C29" s="14" t="s">
        <v>18</v>
      </c>
      <c r="D29" s="10"/>
    </row>
    <row r="30" spans="1:4">
      <c r="A30" s="9"/>
      <c r="B30" s="18" t="s">
        <v>62</v>
      </c>
      <c r="C30" s="14" t="s">
        <v>18</v>
      </c>
      <c r="D30" s="10"/>
    </row>
    <row r="31" spans="1:4">
      <c r="A31" s="9"/>
      <c r="B31" s="18" t="s">
        <v>63</v>
      </c>
      <c r="C31" s="14"/>
      <c r="D31" s="10"/>
    </row>
    <row r="32" spans="1:4">
      <c r="A32" s="9"/>
      <c r="B32" s="18" t="s">
        <v>46</v>
      </c>
      <c r="C32" s="14" t="s">
        <v>18</v>
      </c>
      <c r="D32" s="10"/>
    </row>
    <row r="33" spans="1:4" ht="6.75" customHeight="1">
      <c r="B33" s="19"/>
      <c r="C33" s="12"/>
    </row>
    <row r="34" spans="1:4">
      <c r="A34" s="9"/>
      <c r="B34" s="18" t="s">
        <v>16</v>
      </c>
      <c r="C34" s="15" t="s">
        <v>17</v>
      </c>
      <c r="D34" s="10"/>
    </row>
    <row r="35" spans="1:4">
      <c r="A35" s="9"/>
      <c r="B35" s="20" t="str">
        <f>IF(C34="ANO","Počet zpracovatelů:"," ")</f>
        <v>Počet zpracovatelů:</v>
      </c>
      <c r="C35" s="16">
        <v>1</v>
      </c>
      <c r="D35" s="10"/>
    </row>
    <row r="36" spans="1:4" ht="6.75" customHeight="1">
      <c r="B36" s="19"/>
      <c r="C36" s="12">
        <v>3</v>
      </c>
    </row>
    <row r="37" spans="1:4">
      <c r="B37" s="18" t="str">
        <f>IF(C35&gt;0,"ZPRACOVATEL 1"," ")</f>
        <v>ZPRACOVATEL 1</v>
      </c>
      <c r="C37" s="12"/>
    </row>
    <row r="38" spans="1:4">
      <c r="A38" s="9"/>
      <c r="B38" s="18" t="str">
        <f>IF(C35&gt;0,"Firma (název) zpracovatele:"," ")</f>
        <v>Firma (název) zpracovatele:</v>
      </c>
      <c r="C38" s="14"/>
      <c r="D38" s="10"/>
    </row>
    <row r="39" spans="1:4">
      <c r="A39" s="9"/>
      <c r="B39" s="18" t="str">
        <f>IF(C35&gt;0,"se sídlem:"," ")</f>
        <v>se sídlem:</v>
      </c>
      <c r="C39" s="14"/>
      <c r="D39" s="10"/>
    </row>
    <row r="40" spans="1:4">
      <c r="A40" s="9"/>
      <c r="B40" s="18" t="str">
        <f>IF(C35&gt;0,"IČ:"," ")</f>
        <v>IČ:</v>
      </c>
      <c r="C40" s="50"/>
      <c r="D40" s="10"/>
    </row>
    <row r="41" spans="1:4">
      <c r="A41" s="9"/>
      <c r="B41" s="18" t="str">
        <f>IF(C35&gt;0,"odpovědná osoba:"," ")</f>
        <v>odpovědná osoba:</v>
      </c>
      <c r="C41" s="14"/>
      <c r="D41" s="10"/>
    </row>
    <row r="42" spans="1:4">
      <c r="A42" s="9"/>
      <c r="B42" s="18" t="str">
        <f>IF(C35&gt;0,"e-mail:"," ")</f>
        <v>e-mail:</v>
      </c>
      <c r="C42" s="14" t="str">
        <f t="shared" ref="C42:C43" si="0">IF(B42=" "," ","")</f>
        <v/>
      </c>
      <c r="D42" s="10"/>
    </row>
    <row r="43" spans="1:4">
      <c r="A43" s="9"/>
      <c r="B43" s="18" t="str">
        <f>IF(C35&gt;0,"telefon:"," ")</f>
        <v>telefon:</v>
      </c>
      <c r="C43" s="14" t="str">
        <f t="shared" si="0"/>
        <v/>
      </c>
      <c r="D43" s="10"/>
    </row>
    <row r="44" spans="1:4">
      <c r="A44" s="9"/>
      <c r="B44" s="18" t="str">
        <f>IF(C35&gt;0,"Smlouva o zpracování OÚ:"," ")</f>
        <v>Smlouva o zpracování OÚ:</v>
      </c>
      <c r="C44" s="14" t="s">
        <v>25</v>
      </c>
      <c r="D44" s="10"/>
    </row>
    <row r="45" spans="1:4">
      <c r="A45" s="9"/>
      <c r="B45" s="18" t="str">
        <f>IF(AND(C35&gt;0,C44=Data!C5),"Právní předpis:"," ")</f>
        <v xml:space="preserve"> </v>
      </c>
      <c r="C45" s="14" t="str">
        <f>IF(B45=" "," ","")</f>
        <v xml:space="preserve"> </v>
      </c>
      <c r="D45" s="10"/>
    </row>
    <row r="46" spans="1:4" ht="6.75" customHeight="1">
      <c r="B46" s="19"/>
      <c r="C46" s="12">
        <v>3</v>
      </c>
    </row>
    <row r="47" spans="1:4">
      <c r="B47" s="18" t="str">
        <f>IF(C35&gt;1,"ZPRACOVATEL 2"," ")</f>
        <v xml:space="preserve"> </v>
      </c>
      <c r="C47" s="12"/>
    </row>
    <row r="48" spans="1:4">
      <c r="A48" s="9"/>
      <c r="B48" s="18" t="str">
        <f>IF(C35&gt;1,"Firma (název) zpracovatele:"," ")</f>
        <v xml:space="preserve"> </v>
      </c>
      <c r="C48" s="14" t="str">
        <f t="shared" ref="C48:C53" si="1">IF(B48=" "," ","")</f>
        <v xml:space="preserve"> </v>
      </c>
      <c r="D48" s="10"/>
    </row>
    <row r="49" spans="1:4">
      <c r="A49" s="9"/>
      <c r="B49" s="18" t="str">
        <f>IF(C35&gt;1,"se sídlem:"," ")</f>
        <v xml:space="preserve"> </v>
      </c>
      <c r="C49" s="14" t="str">
        <f t="shared" si="1"/>
        <v xml:space="preserve"> </v>
      </c>
      <c r="D49" s="10"/>
    </row>
    <row r="50" spans="1:4">
      <c r="A50" s="9"/>
      <c r="B50" s="18" t="str">
        <f>IF(C35&gt;1,"IČ:"," ")</f>
        <v xml:space="preserve"> </v>
      </c>
      <c r="C50" s="14" t="str">
        <f t="shared" si="1"/>
        <v xml:space="preserve"> </v>
      </c>
      <c r="D50" s="10"/>
    </row>
    <row r="51" spans="1:4">
      <c r="A51" s="9"/>
      <c r="B51" s="18" t="str">
        <f>IF(C35&gt;1,"odpovědná osoba:"," ")</f>
        <v xml:space="preserve"> </v>
      </c>
      <c r="C51" s="14" t="str">
        <f t="shared" si="1"/>
        <v xml:space="preserve"> </v>
      </c>
      <c r="D51" s="10"/>
    </row>
    <row r="52" spans="1:4">
      <c r="A52" s="9"/>
      <c r="B52" s="18" t="str">
        <f>IF(C35&gt;1,"e-mail:"," ")</f>
        <v xml:space="preserve"> </v>
      </c>
      <c r="C52" s="14" t="str">
        <f t="shared" si="1"/>
        <v xml:space="preserve"> </v>
      </c>
      <c r="D52" s="10"/>
    </row>
    <row r="53" spans="1:4">
      <c r="A53" s="9"/>
      <c r="B53" s="18" t="str">
        <f>IF(C35&gt;1,"telefon:"," ")</f>
        <v xml:space="preserve"> </v>
      </c>
      <c r="C53" s="14" t="str">
        <f t="shared" si="1"/>
        <v xml:space="preserve"> </v>
      </c>
      <c r="D53" s="10"/>
    </row>
    <row r="54" spans="1:4">
      <c r="A54" s="9"/>
      <c r="B54" s="18" t="str">
        <f>IF(C35&gt;1,"Smlouva o zpracování OÚ:"," ")</f>
        <v xml:space="preserve"> </v>
      </c>
      <c r="C54" s="14" t="s">
        <v>25</v>
      </c>
      <c r="D54" s="10"/>
    </row>
    <row r="55" spans="1:4">
      <c r="A55" s="9"/>
      <c r="B55" s="18" t="str">
        <f>IF(AND(C35&gt;1,C54=Data!C5),"Právní předpis:"," ")</f>
        <v xml:space="preserve"> </v>
      </c>
      <c r="C55" s="14" t="str">
        <f>IF(B55=" "," ","")</f>
        <v xml:space="preserve"> </v>
      </c>
      <c r="D55" s="10"/>
    </row>
    <row r="56" spans="1:4" ht="6.75" customHeight="1">
      <c r="B56" s="19"/>
      <c r="C56" s="12">
        <v>3</v>
      </c>
    </row>
    <row r="57" spans="1:4">
      <c r="B57" s="18" t="str">
        <f>IF(C35&gt;2,"ZPRACOVATEL 3"," ")</f>
        <v xml:space="preserve"> </v>
      </c>
      <c r="C57" s="12"/>
    </row>
    <row r="58" spans="1:4">
      <c r="A58" s="9"/>
      <c r="B58" s="18" t="str">
        <f>IF(C35&gt;2,"Firma (název) zpracovatele:"," ")</f>
        <v xml:space="preserve"> </v>
      </c>
      <c r="C58" s="14" t="str">
        <f t="shared" ref="C58:C63" si="2">IF(B58=" "," ","")</f>
        <v xml:space="preserve"> </v>
      </c>
      <c r="D58" s="10"/>
    </row>
    <row r="59" spans="1:4">
      <c r="A59" s="9"/>
      <c r="B59" s="18" t="str">
        <f>IF(C35&gt;2,"se sídlem:"," ")</f>
        <v xml:space="preserve"> </v>
      </c>
      <c r="C59" s="14" t="str">
        <f t="shared" si="2"/>
        <v xml:space="preserve"> </v>
      </c>
      <c r="D59" s="10"/>
    </row>
    <row r="60" spans="1:4">
      <c r="A60" s="9"/>
      <c r="B60" s="18" t="str">
        <f>IF(C35&gt;2,"IČ:"," ")</f>
        <v xml:space="preserve"> </v>
      </c>
      <c r="C60" s="14" t="str">
        <f t="shared" si="2"/>
        <v xml:space="preserve"> </v>
      </c>
      <c r="D60" s="10"/>
    </row>
    <row r="61" spans="1:4">
      <c r="A61" s="9"/>
      <c r="B61" s="18" t="str">
        <f>IF(C35&gt;2,"odpovědná osoba:"," ")</f>
        <v xml:space="preserve"> </v>
      </c>
      <c r="C61" s="14" t="str">
        <f t="shared" si="2"/>
        <v xml:space="preserve"> </v>
      </c>
      <c r="D61" s="10"/>
    </row>
    <row r="62" spans="1:4">
      <c r="A62" s="9"/>
      <c r="B62" s="18" t="str">
        <f>IF(C35&gt;2,"e-mail:"," ")</f>
        <v xml:space="preserve"> </v>
      </c>
      <c r="C62" s="14" t="str">
        <f t="shared" si="2"/>
        <v xml:space="preserve"> </v>
      </c>
      <c r="D62" s="10"/>
    </row>
    <row r="63" spans="1:4">
      <c r="A63" s="9"/>
      <c r="B63" s="18" t="str">
        <f>IF(C35&gt;2,"telefon:"," ")</f>
        <v xml:space="preserve"> </v>
      </c>
      <c r="C63" s="14" t="str">
        <f t="shared" si="2"/>
        <v xml:space="preserve"> </v>
      </c>
      <c r="D63" s="10"/>
    </row>
    <row r="64" spans="1:4">
      <c r="A64" s="9"/>
      <c r="B64" s="18" t="str">
        <f>IF(C35&gt;2,"Smlouva o zpracování OÚ:"," ")</f>
        <v xml:space="preserve"> </v>
      </c>
      <c r="C64" s="14" t="s">
        <v>25</v>
      </c>
      <c r="D64" s="10"/>
    </row>
    <row r="65" spans="1:4">
      <c r="A65" s="9"/>
      <c r="B65" s="18" t="str">
        <f>IF(AND(C35&gt;2,C64=Data!C5),"Právní předpis:"," ")</f>
        <v xml:space="preserve"> </v>
      </c>
      <c r="C65" s="14" t="str">
        <f>IF(B65=" "," ","")</f>
        <v xml:space="preserve"> </v>
      </c>
      <c r="D65" s="10"/>
    </row>
    <row r="66" spans="1:4" ht="6.75" customHeight="1">
      <c r="B66" s="19"/>
      <c r="C66" s="12">
        <v>3</v>
      </c>
    </row>
    <row r="67" spans="1:4">
      <c r="B67" s="18" t="str">
        <f>IF(C35&gt;3,"ZPRACOVATEL 4"," ")</f>
        <v xml:space="preserve"> </v>
      </c>
      <c r="C67" s="12"/>
    </row>
    <row r="68" spans="1:4">
      <c r="A68" s="9"/>
      <c r="B68" s="18" t="str">
        <f>IF(C35&gt;3,"Firma (název) zpracovatele:"," ")</f>
        <v xml:space="preserve"> </v>
      </c>
      <c r="C68" s="14" t="str">
        <f t="shared" ref="C68:C73" si="3">IF(B68=" "," ","")</f>
        <v xml:space="preserve"> </v>
      </c>
      <c r="D68" s="10"/>
    </row>
    <row r="69" spans="1:4">
      <c r="A69" s="9"/>
      <c r="B69" s="18" t="str">
        <f>IF(C35&gt;3,"se sídlem:"," ")</f>
        <v xml:space="preserve"> </v>
      </c>
      <c r="C69" s="14" t="str">
        <f t="shared" si="3"/>
        <v xml:space="preserve"> </v>
      </c>
      <c r="D69" s="10"/>
    </row>
    <row r="70" spans="1:4">
      <c r="A70" s="9"/>
      <c r="B70" s="18" t="str">
        <f>IF(C35&gt;3,"IČ:"," ")</f>
        <v xml:space="preserve"> </v>
      </c>
      <c r="C70" s="14" t="str">
        <f t="shared" si="3"/>
        <v xml:space="preserve"> </v>
      </c>
      <c r="D70" s="10"/>
    </row>
    <row r="71" spans="1:4">
      <c r="A71" s="9"/>
      <c r="B71" s="18" t="str">
        <f>IF(C35&gt;3,"odpovědná osoba:"," ")</f>
        <v xml:space="preserve"> </v>
      </c>
      <c r="C71" s="14" t="str">
        <f t="shared" si="3"/>
        <v xml:space="preserve"> </v>
      </c>
      <c r="D71" s="10"/>
    </row>
    <row r="72" spans="1:4">
      <c r="A72" s="9"/>
      <c r="B72" s="18" t="str">
        <f>IF(C35&gt;3,"e-mail:"," ")</f>
        <v xml:space="preserve"> </v>
      </c>
      <c r="C72" s="14" t="str">
        <f t="shared" si="3"/>
        <v xml:space="preserve"> </v>
      </c>
      <c r="D72" s="10"/>
    </row>
    <row r="73" spans="1:4">
      <c r="A73" s="9"/>
      <c r="B73" s="18" t="str">
        <f>IF(C35&gt;3,"telefon:"," ")</f>
        <v xml:space="preserve"> </v>
      </c>
      <c r="C73" s="14" t="str">
        <f t="shared" si="3"/>
        <v xml:space="preserve"> </v>
      </c>
      <c r="D73" s="10"/>
    </row>
    <row r="74" spans="1:4">
      <c r="A74" s="9"/>
      <c r="B74" s="18" t="str">
        <f>IF(C35&gt;3,"Smlouva o zpracování OÚ:"," ")</f>
        <v xml:space="preserve"> </v>
      </c>
      <c r="C74" s="14" t="s">
        <v>25</v>
      </c>
      <c r="D74" s="10"/>
    </row>
    <row r="75" spans="1:4">
      <c r="A75" s="9"/>
      <c r="B75" s="18" t="str">
        <f>IF(AND(C35&gt;3,C74=Data!C35),"Právní předpis:"," ")</f>
        <v xml:space="preserve"> </v>
      </c>
      <c r="C75" s="14" t="str">
        <f>IF(B75=" "," ","")</f>
        <v xml:space="preserve"> </v>
      </c>
      <c r="D75" s="10"/>
    </row>
    <row r="76" spans="1:4" ht="6.75" customHeight="1">
      <c r="B76" s="19"/>
      <c r="C76" s="12">
        <v>3</v>
      </c>
    </row>
    <row r="77" spans="1:4">
      <c r="B77" s="18" t="str">
        <f>IF(C35&gt;4,"ZPRACOVATEL 5"," ")</f>
        <v xml:space="preserve"> </v>
      </c>
      <c r="C77" s="12"/>
    </row>
    <row r="78" spans="1:4">
      <c r="A78" s="9"/>
      <c r="B78" s="18" t="str">
        <f>IF(C35&gt;4,"Firma (název) zpracovatele:"," ")</f>
        <v xml:space="preserve"> </v>
      </c>
      <c r="C78" s="14" t="str">
        <f t="shared" ref="C78:C83" si="4">IF(B78=" "," ","")</f>
        <v xml:space="preserve"> </v>
      </c>
      <c r="D78" s="10"/>
    </row>
    <row r="79" spans="1:4">
      <c r="A79" s="9"/>
      <c r="B79" s="18" t="str">
        <f>IF(C35&gt;4,"se sídlem:"," ")</f>
        <v xml:space="preserve"> </v>
      </c>
      <c r="C79" s="14" t="str">
        <f t="shared" si="4"/>
        <v xml:space="preserve"> </v>
      </c>
      <c r="D79" s="10"/>
    </row>
    <row r="80" spans="1:4">
      <c r="A80" s="9"/>
      <c r="B80" s="18" t="str">
        <f>IF(C35&gt;4,"IČ:"," ")</f>
        <v xml:space="preserve"> </v>
      </c>
      <c r="C80" s="14" t="str">
        <f t="shared" si="4"/>
        <v xml:space="preserve"> </v>
      </c>
      <c r="D80" s="10"/>
    </row>
    <row r="81" spans="1:4">
      <c r="A81" s="9"/>
      <c r="B81" s="18" t="str">
        <f>IF(C35&gt;4,"odpovědná osoba:"," ")</f>
        <v xml:space="preserve"> </v>
      </c>
      <c r="C81" s="14" t="str">
        <f t="shared" si="4"/>
        <v xml:space="preserve"> </v>
      </c>
      <c r="D81" s="10"/>
    </row>
    <row r="82" spans="1:4">
      <c r="A82" s="9"/>
      <c r="B82" s="18" t="str">
        <f>IF(C35&gt;4,"e-mail:"," ")</f>
        <v xml:space="preserve"> </v>
      </c>
      <c r="C82" s="14" t="str">
        <f t="shared" si="4"/>
        <v xml:space="preserve"> </v>
      </c>
      <c r="D82" s="10"/>
    </row>
    <row r="83" spans="1:4">
      <c r="A83" s="9"/>
      <c r="B83" s="18" t="str">
        <f>IF(C35&gt;4,"telefon:"," ")</f>
        <v xml:space="preserve"> </v>
      </c>
      <c r="C83" s="14" t="str">
        <f t="shared" si="4"/>
        <v xml:space="preserve"> </v>
      </c>
      <c r="D83" s="10"/>
    </row>
    <row r="84" spans="1:4">
      <c r="A84" s="9"/>
      <c r="B84" s="18" t="str">
        <f>IF(C35&gt;4,"Smlouva o zpracování OÚ:"," ")</f>
        <v xml:space="preserve"> </v>
      </c>
      <c r="C84" s="14" t="s">
        <v>25</v>
      </c>
      <c r="D84" s="10"/>
    </row>
    <row r="85" spans="1:4">
      <c r="A85" s="9"/>
      <c r="B85" s="18" t="str">
        <f>IF(AND(C35&gt;4,C84=Data!C45),"Právní předpis:"," ")</f>
        <v xml:space="preserve"> </v>
      </c>
      <c r="C85" s="14" t="str">
        <f>IF(B85=" "," ","")</f>
        <v xml:space="preserve"> </v>
      </c>
      <c r="D85" s="10"/>
    </row>
  </sheetData>
  <conditionalFormatting sqref="B38">
    <cfRule type="cellIs" dxfId="82" priority="114" operator="equal">
      <formula>" "</formula>
    </cfRule>
  </conditionalFormatting>
  <conditionalFormatting sqref="B41:C45 B39:B40">
    <cfRule type="cellIs" dxfId="81" priority="109" operator="equal">
      <formula>" "</formula>
    </cfRule>
  </conditionalFormatting>
  <conditionalFormatting sqref="B35">
    <cfRule type="cellIs" dxfId="80" priority="107" operator="equal">
      <formula>" "</formula>
    </cfRule>
  </conditionalFormatting>
  <conditionalFormatting sqref="B37">
    <cfRule type="cellIs" dxfId="79" priority="106" operator="equal">
      <formula>" "</formula>
    </cfRule>
  </conditionalFormatting>
  <conditionalFormatting sqref="C41:C45">
    <cfRule type="cellIs" dxfId="78" priority="98" operator="equal">
      <formula>" "</formula>
    </cfRule>
    <cfRule type="cellIs" dxfId="77" priority="104" operator="equal">
      <formula>" "</formula>
    </cfRule>
  </conditionalFormatting>
  <conditionalFormatting sqref="C41">
    <cfRule type="cellIs" dxfId="76" priority="101" operator="equal">
      <formula>" "</formula>
    </cfRule>
  </conditionalFormatting>
  <conditionalFormatting sqref="C42">
    <cfRule type="cellIs" dxfId="75" priority="100" operator="equal">
      <formula>" "</formula>
    </cfRule>
  </conditionalFormatting>
  <conditionalFormatting sqref="C43">
    <cfRule type="cellIs" dxfId="74" priority="99" operator="equal">
      <formula>" "</formula>
    </cfRule>
  </conditionalFormatting>
  <conditionalFormatting sqref="C35">
    <cfRule type="expression" dxfId="73" priority="94">
      <formula>$B$35="Počet zpracovatelů:"</formula>
    </cfRule>
  </conditionalFormatting>
  <conditionalFormatting sqref="C44">
    <cfRule type="expression" dxfId="72" priority="93">
      <formula>$B$44="Smlouva o zpracování OÚ:"</formula>
    </cfRule>
  </conditionalFormatting>
  <conditionalFormatting sqref="B48:C48">
    <cfRule type="cellIs" dxfId="71" priority="92" operator="equal">
      <formula>" "</formula>
    </cfRule>
  </conditionalFormatting>
  <conditionalFormatting sqref="B49:C53 B55:C55 B54">
    <cfRule type="cellIs" dxfId="70" priority="91" operator="equal">
      <formula>" "</formula>
    </cfRule>
  </conditionalFormatting>
  <conditionalFormatting sqref="B47">
    <cfRule type="cellIs" dxfId="69" priority="90" operator="equal">
      <formula>" "</formula>
    </cfRule>
  </conditionalFormatting>
  <conditionalFormatting sqref="C48:C53 C55">
    <cfRule type="cellIs" dxfId="68" priority="83" operator="equal">
      <formula>" "</formula>
    </cfRule>
    <cfRule type="cellIs" dxfId="67" priority="89" operator="equal">
      <formula>" "</formula>
    </cfRule>
  </conditionalFormatting>
  <conditionalFormatting sqref="C49">
    <cfRule type="cellIs" dxfId="66" priority="88" operator="equal">
      <formula>" "</formula>
    </cfRule>
  </conditionalFormatting>
  <conditionalFormatting sqref="C50">
    <cfRule type="cellIs" dxfId="65" priority="87" operator="equal">
      <formula>" "</formula>
    </cfRule>
  </conditionalFormatting>
  <conditionalFormatting sqref="C51">
    <cfRule type="cellIs" dxfId="64" priority="86" operator="equal">
      <formula>" "</formula>
    </cfRule>
  </conditionalFormatting>
  <conditionalFormatting sqref="C52">
    <cfRule type="cellIs" dxfId="63" priority="85" operator="equal">
      <formula>" "</formula>
    </cfRule>
  </conditionalFormatting>
  <conditionalFormatting sqref="C53">
    <cfRule type="cellIs" dxfId="62" priority="84" operator="equal">
      <formula>" "</formula>
    </cfRule>
  </conditionalFormatting>
  <conditionalFormatting sqref="B58:C58">
    <cfRule type="cellIs" dxfId="61" priority="81" operator="equal">
      <formula>" "</formula>
    </cfRule>
  </conditionalFormatting>
  <conditionalFormatting sqref="B59:C65">
    <cfRule type="cellIs" dxfId="60" priority="80" operator="equal">
      <formula>" "</formula>
    </cfRule>
  </conditionalFormatting>
  <conditionalFormatting sqref="B57">
    <cfRule type="cellIs" dxfId="59" priority="79" operator="equal">
      <formula>" "</formula>
    </cfRule>
  </conditionalFormatting>
  <conditionalFormatting sqref="C58:C65">
    <cfRule type="cellIs" dxfId="58" priority="72" operator="equal">
      <formula>" "</formula>
    </cfRule>
    <cfRule type="cellIs" dxfId="57" priority="78" operator="equal">
      <formula>" "</formula>
    </cfRule>
  </conditionalFormatting>
  <conditionalFormatting sqref="C59">
    <cfRule type="cellIs" dxfId="56" priority="77" operator="equal">
      <formula>" "</formula>
    </cfRule>
  </conditionalFormatting>
  <conditionalFormatting sqref="C60">
    <cfRule type="cellIs" dxfId="55" priority="76" operator="equal">
      <formula>" "</formula>
    </cfRule>
  </conditionalFormatting>
  <conditionalFormatting sqref="C61">
    <cfRule type="cellIs" dxfId="54" priority="75" operator="equal">
      <formula>" "</formula>
    </cfRule>
  </conditionalFormatting>
  <conditionalFormatting sqref="C62">
    <cfRule type="cellIs" dxfId="53" priority="74" operator="equal">
      <formula>" "</formula>
    </cfRule>
  </conditionalFormatting>
  <conditionalFormatting sqref="C63">
    <cfRule type="cellIs" dxfId="52" priority="73" operator="equal">
      <formula>" "</formula>
    </cfRule>
  </conditionalFormatting>
  <conditionalFormatting sqref="C64">
    <cfRule type="expression" dxfId="51" priority="71">
      <formula>$B$64="Smlouva o zpracování OÚ:"</formula>
    </cfRule>
  </conditionalFormatting>
  <conditionalFormatting sqref="B68:C68">
    <cfRule type="cellIs" dxfId="50" priority="70" operator="equal">
      <formula>" "</formula>
    </cfRule>
  </conditionalFormatting>
  <conditionalFormatting sqref="B69:C75">
    <cfRule type="cellIs" dxfId="49" priority="69" operator="equal">
      <formula>" "</formula>
    </cfRule>
  </conditionalFormatting>
  <conditionalFormatting sqref="B67">
    <cfRule type="cellIs" dxfId="48" priority="68" operator="equal">
      <formula>" "</formula>
    </cfRule>
  </conditionalFormatting>
  <conditionalFormatting sqref="C68:C75">
    <cfRule type="cellIs" dxfId="47" priority="61" operator="equal">
      <formula>" "</formula>
    </cfRule>
    <cfRule type="cellIs" dxfId="46" priority="67" operator="equal">
      <formula>" "</formula>
    </cfRule>
  </conditionalFormatting>
  <conditionalFormatting sqref="C69">
    <cfRule type="cellIs" dxfId="45" priority="66" operator="equal">
      <formula>" "</formula>
    </cfRule>
  </conditionalFormatting>
  <conditionalFormatting sqref="C70">
    <cfRule type="cellIs" dxfId="44" priority="65" operator="equal">
      <formula>" "</formula>
    </cfRule>
  </conditionalFormatting>
  <conditionalFormatting sqref="C71">
    <cfRule type="cellIs" dxfId="43" priority="64" operator="equal">
      <formula>" "</formula>
    </cfRule>
  </conditionalFormatting>
  <conditionalFormatting sqref="C72">
    <cfRule type="cellIs" dxfId="42" priority="63" operator="equal">
      <formula>" "</formula>
    </cfRule>
  </conditionalFormatting>
  <conditionalFormatting sqref="C73">
    <cfRule type="cellIs" dxfId="41" priority="62" operator="equal">
      <formula>" "</formula>
    </cfRule>
  </conditionalFormatting>
  <conditionalFormatting sqref="C74">
    <cfRule type="expression" dxfId="40" priority="60">
      <formula>$B$74="Smlouva o zpracování OÚ:"</formula>
    </cfRule>
  </conditionalFormatting>
  <conditionalFormatting sqref="B78:C78">
    <cfRule type="cellIs" dxfId="39" priority="59" operator="equal">
      <formula>" "</formula>
    </cfRule>
  </conditionalFormatting>
  <conditionalFormatting sqref="B79:C85">
    <cfRule type="cellIs" dxfId="38" priority="58" operator="equal">
      <formula>" "</formula>
    </cfRule>
  </conditionalFormatting>
  <conditionalFormatting sqref="B77">
    <cfRule type="cellIs" dxfId="37" priority="57" operator="equal">
      <formula>" "</formula>
    </cfRule>
  </conditionalFormatting>
  <conditionalFormatting sqref="C78:C85">
    <cfRule type="cellIs" dxfId="36" priority="50" operator="equal">
      <formula>" "</formula>
    </cfRule>
    <cfRule type="cellIs" dxfId="35" priority="56" operator="equal">
      <formula>" "</formula>
    </cfRule>
  </conditionalFormatting>
  <conditionalFormatting sqref="C79">
    <cfRule type="cellIs" dxfId="34" priority="55" operator="equal">
      <formula>" "</formula>
    </cfRule>
  </conditionalFormatting>
  <conditionalFormatting sqref="C80">
    <cfRule type="cellIs" dxfId="33" priority="54" operator="equal">
      <formula>" "</formula>
    </cfRule>
  </conditionalFormatting>
  <conditionalFormatting sqref="C81">
    <cfRule type="cellIs" dxfId="32" priority="53" operator="equal">
      <formula>" "</formula>
    </cfRule>
  </conditionalFormatting>
  <conditionalFormatting sqref="C82">
    <cfRule type="cellIs" dxfId="31" priority="52" operator="equal">
      <formula>" "</formula>
    </cfRule>
  </conditionalFormatting>
  <conditionalFormatting sqref="C83">
    <cfRule type="cellIs" dxfId="30" priority="51" operator="equal">
      <formula>" "</formula>
    </cfRule>
  </conditionalFormatting>
  <conditionalFormatting sqref="C84">
    <cfRule type="expression" dxfId="29" priority="49">
      <formula>$B$84="Smlouva o zpracování OÚ:"</formula>
    </cfRule>
  </conditionalFormatting>
  <conditionalFormatting sqref="C54">
    <cfRule type="cellIs" dxfId="28" priority="48" operator="equal">
      <formula>" "</formula>
    </cfRule>
  </conditionalFormatting>
  <conditionalFormatting sqref="C54">
    <cfRule type="cellIs" dxfId="27" priority="46" operator="equal">
      <formula>" "</formula>
    </cfRule>
    <cfRule type="cellIs" dxfId="26" priority="47" operator="equal">
      <formula>" "</formula>
    </cfRule>
  </conditionalFormatting>
  <conditionalFormatting sqref="C54">
    <cfRule type="expression" dxfId="25" priority="45">
      <formula>$B$54="Smlouva o zpracování OÚ:"</formula>
    </cfRule>
  </conditionalFormatting>
  <conditionalFormatting sqref="C38">
    <cfRule type="cellIs" dxfId="24" priority="44" operator="equal">
      <formula>" "</formula>
    </cfRule>
  </conditionalFormatting>
  <conditionalFormatting sqref="C39">
    <cfRule type="cellIs" dxfId="23" priority="43" operator="equal">
      <formula>" "</formula>
    </cfRule>
  </conditionalFormatting>
  <conditionalFormatting sqref="C38:C39">
    <cfRule type="cellIs" dxfId="22" priority="40" operator="equal">
      <formula>" "</formula>
    </cfRule>
    <cfRule type="cellIs" dxfId="21" priority="42" operator="equal">
      <formula>" "</formula>
    </cfRule>
  </conditionalFormatting>
  <conditionalFormatting sqref="C39">
    <cfRule type="cellIs" dxfId="20" priority="41" operator="equal">
      <formula>" "</formula>
    </cfRule>
  </conditionalFormatting>
  <conditionalFormatting sqref="C22">
    <cfRule type="cellIs" dxfId="19" priority="38" operator="equal">
      <formula>"NEVÍM"</formula>
    </cfRule>
    <cfRule type="cellIs" dxfId="18" priority="39" operator="equal">
      <formula>"ANO"</formula>
    </cfRule>
  </conditionalFormatting>
  <conditionalFormatting sqref="C20">
    <cfRule type="expression" dxfId="17" priority="34">
      <formula>$B$20="      - jejich druh:"</formula>
    </cfRule>
  </conditionalFormatting>
  <conditionalFormatting sqref="C21">
    <cfRule type="expression" dxfId="16" priority="33">
      <formula>$B$20="      - jejich druh:"</formula>
    </cfRule>
  </conditionalFormatting>
  <conditionalFormatting sqref="C19">
    <cfRule type="cellIs" dxfId="15" priority="32" operator="equal">
      <formula>"NEVÍM"</formula>
    </cfRule>
  </conditionalFormatting>
  <conditionalFormatting sqref="C32">
    <cfRule type="cellIs" dxfId="14" priority="29" operator="equal">
      <formula>"NEVÍM"</formula>
    </cfRule>
    <cfRule type="cellIs" dxfId="13" priority="30" operator="equal">
      <formula>"ANO"</formula>
    </cfRule>
  </conditionalFormatting>
  <conditionalFormatting sqref="C29">
    <cfRule type="cellIs" dxfId="12" priority="26" operator="equal">
      <formula>"NEVÍM"</formula>
    </cfRule>
    <cfRule type="cellIs" dxfId="11" priority="27" operator="equal">
      <formula>"ANO"</formula>
    </cfRule>
  </conditionalFormatting>
  <conditionalFormatting sqref="C31">
    <cfRule type="expression" dxfId="10" priority="2">
      <formula>$C$30="NE"</formula>
    </cfRule>
  </conditionalFormatting>
  <conditionalFormatting sqref="B31">
    <cfRule type="expression" dxfId="9" priority="1">
      <formula>$C$30="NE"</formula>
    </cfRule>
  </conditionalFormatting>
  <dataValidations count="1">
    <dataValidation type="whole" allowBlank="1" showInputMessage="1" showErrorMessage="1" sqref="C46:C47 C56:C57 C66:C67 C76:C77 C35:C37" xr:uid="{00000000-0002-0000-0600-000000000000}">
      <formula1>1</formula1>
      <formula2>5</formula2>
    </dataValidation>
  </dataValidations>
  <pageMargins left="0.7" right="0.7" top="0.78740157499999996" bottom="0.78740157499999996" header="0.3" footer="0.3"/>
  <pageSetup paperSize="9" orientation="landscape" r:id="rId1"/>
  <headerFooter>
    <oddFooter>&amp;CCopyright © 2017 by VIAVIS a.s.</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2" operator="equal" id="{1DE6898B-C98E-417C-802A-A1AB2DFB73BF}">
            <xm:f>Data!$G$4</xm:f>
            <x14:dxf>
              <fill>
                <patternFill>
                  <bgColor rgb="FFFF0000"/>
                </patternFill>
              </fill>
            </x14:dxf>
          </x14:cfRule>
          <x14:cfRule type="cellIs" priority="23" operator="equal" id="{AAEEACFD-2E90-4E24-A0C5-EABD6FA85945}">
            <xm:f>Data!$G$3</xm:f>
            <x14:dxf>
              <fill>
                <patternFill>
                  <bgColor rgb="FFFF0000"/>
                </patternFill>
              </fill>
            </x14:dxf>
          </x14:cfRule>
          <xm:sqref>C25</xm:sqref>
        </x14:conditionalFormatting>
        <x14:conditionalFormatting xmlns:xm="http://schemas.microsoft.com/office/excel/2006/main">
          <x14:cfRule type="cellIs" priority="12" operator="equal" id="{1EEE3BB3-FB07-4B8A-94F7-5EDB638B7055}">
            <xm:f>Data!$H$5</xm:f>
            <x14:dxf>
              <fill>
                <patternFill>
                  <bgColor rgb="FFFF0000"/>
                </patternFill>
              </fill>
            </x14:dxf>
          </x14:cfRule>
          <x14:cfRule type="cellIs" priority="13" operator="equal" id="{787054C9-4D6A-4EF2-90CA-6C38CBF57ECA}">
            <xm:f>Data!$H$4</xm:f>
            <x14:dxf>
              <fill>
                <patternFill>
                  <bgColor rgb="FFFF0000"/>
                </patternFill>
              </fill>
            </x14:dxf>
          </x14:cfRule>
          <x14:cfRule type="cellIs" priority="14" operator="equal" id="{340241A1-9088-4E20-8D9E-B949C9267E20}">
            <xm:f>Data!$H$3</xm:f>
            <x14:dxf>
              <fill>
                <patternFill>
                  <bgColor rgb="FFFF0000"/>
                </patternFill>
              </fill>
            </x14:dxf>
          </x14:cfRule>
          <x14:cfRule type="cellIs" priority="15" operator="equal" id="{91BF152B-6F00-4B7B-9E32-FEF2A8146AEC}">
            <xm:f>Data!$H$2</xm:f>
            <x14:dxf>
              <fill>
                <patternFill>
                  <bgColor rgb="FFFF0000"/>
                </patternFill>
              </fill>
            </x14:dxf>
          </x14:cfRule>
          <xm:sqref>C16</xm:sqref>
        </x14:conditionalFormatting>
        <x14:conditionalFormatting xmlns:xm="http://schemas.microsoft.com/office/excel/2006/main">
          <x14:cfRule type="cellIs" priority="5" operator="equal" id="{9BD0B37A-E0CD-4D97-83CA-044497EFF49D}">
            <xm:f>Data!$B$3</xm:f>
            <x14:dxf>
              <fill>
                <patternFill>
                  <bgColor rgb="FFFF0000"/>
                </patternFill>
              </fill>
            </x14:dxf>
          </x14:cfRule>
          <xm:sqref>C30</xm:sqref>
        </x14:conditionalFormatting>
        <x14:conditionalFormatting xmlns:xm="http://schemas.microsoft.com/office/excel/2006/main">
          <x14:cfRule type="cellIs" priority="3" operator="equal" id="{E37FB271-BB2C-46D0-BFA7-EC0875D28E85}">
            <xm:f>Data!$B$3</xm:f>
            <x14:dxf>
              <fill>
                <patternFill>
                  <bgColor rgb="FFFF0000"/>
                </patternFill>
              </fill>
            </x14:dxf>
          </x14:cfRule>
          <x14:cfRule type="cellIs" priority="4" operator="equal" id="{41E39904-CCCE-4117-BD63-91F8B61FB371}">
            <xm:f>Data!$B$2</xm:f>
            <x14:dxf>
              <fill>
                <patternFill>
                  <bgColor rgb="FFFF0000"/>
                </patternFill>
              </fill>
            </x14:dxf>
          </x14:cfRule>
          <xm:sqref>C31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600-000001000000}">
          <x14:formula1>
            <xm:f>Data!$B$1:$B$3</xm:f>
          </x14:formula1>
          <xm:sqref>C19 C22 C29:C34</xm:sqref>
        </x14:dataValidation>
        <x14:dataValidation type="list" allowBlank="1" showInputMessage="1" showErrorMessage="1" xr:uid="{00000000-0002-0000-0600-000002000000}">
          <x14:formula1>
            <xm:f>Data!$C$1:$C$8</xm:f>
          </x14:formula1>
          <xm:sqref>C44 C54 C64 C74 C84</xm:sqref>
        </x14:dataValidation>
        <x14:dataValidation type="list" allowBlank="1" showInputMessage="1" showErrorMessage="1" xr:uid="{00000000-0002-0000-0600-000003000000}">
          <x14:formula1>
            <xm:f>Data!$E$1:$E$3</xm:f>
          </x14:formula1>
          <xm:sqref>C15</xm:sqref>
        </x14:dataValidation>
        <x14:dataValidation type="list" allowBlank="1" showInputMessage="1" showErrorMessage="1" xr:uid="{00000000-0002-0000-0600-000004000000}">
          <x14:formula1>
            <xm:f>Data!$G$1:$G$4</xm:f>
          </x14:formula1>
          <xm:sqref>C25</xm:sqref>
        </x14:dataValidation>
        <x14:dataValidation type="list" allowBlank="1" showInputMessage="1" showErrorMessage="1" xr:uid="{00000000-0002-0000-0600-000005000000}">
          <x14:formula1>
            <xm:f>Data!$H$1:$H$5</xm:f>
          </x14:formula1>
          <xm:sqref>C16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
  <sheetViews>
    <sheetView topLeftCell="M1" workbookViewId="0">
      <selection activeCell="Q13" sqref="Q13"/>
    </sheetView>
  </sheetViews>
  <sheetFormatPr defaultRowHeight="15" outlineLevelCol="1"/>
  <cols>
    <col min="1" max="1" width="12.7109375" hidden="1" customWidth="1" outlineLevel="1"/>
    <col min="2" max="2" width="8.5703125" hidden="1" customWidth="1" outlineLevel="1"/>
    <col min="3" max="3" width="60" hidden="1" customWidth="1" outlineLevel="1"/>
    <col min="4" max="4" width="0" hidden="1" customWidth="1" outlineLevel="1"/>
    <col min="5" max="5" width="52.85546875" hidden="1" customWidth="1" outlineLevel="1"/>
    <col min="6" max="6" width="23" hidden="1" customWidth="1" outlineLevel="1"/>
    <col min="7" max="7" width="46.7109375" hidden="1" customWidth="1" outlineLevel="1"/>
    <col min="8" max="12" width="0" hidden="1" customWidth="1" outlineLevel="1"/>
    <col min="13" max="13" width="9.140625" collapsed="1"/>
  </cols>
  <sheetData>
    <row r="1" spans="1:8">
      <c r="A1" t="s">
        <v>1</v>
      </c>
      <c r="B1" t="s">
        <v>17</v>
      </c>
      <c r="C1" t="s">
        <v>21</v>
      </c>
      <c r="E1" t="s">
        <v>37</v>
      </c>
      <c r="F1" t="s">
        <v>41</v>
      </c>
      <c r="G1" t="s">
        <v>18</v>
      </c>
      <c r="H1" t="s">
        <v>18</v>
      </c>
    </row>
    <row r="2" spans="1:8">
      <c r="A2" t="s">
        <v>2</v>
      </c>
      <c r="B2" t="s">
        <v>18</v>
      </c>
      <c r="C2" t="s">
        <v>23</v>
      </c>
      <c r="D2">
        <v>1</v>
      </c>
      <c r="E2" t="s">
        <v>38</v>
      </c>
      <c r="F2" t="s">
        <v>42</v>
      </c>
      <c r="G2" t="s">
        <v>50</v>
      </c>
      <c r="H2" t="s">
        <v>57</v>
      </c>
    </row>
    <row r="3" spans="1:8">
      <c r="B3" t="s">
        <v>19</v>
      </c>
      <c r="C3" t="s">
        <v>26</v>
      </c>
      <c r="D3">
        <v>2</v>
      </c>
      <c r="E3" t="s">
        <v>39</v>
      </c>
      <c r="F3" t="s">
        <v>43</v>
      </c>
      <c r="G3" t="s">
        <v>54</v>
      </c>
      <c r="H3" t="s">
        <v>58</v>
      </c>
    </row>
    <row r="4" spans="1:8">
      <c r="C4" t="s">
        <v>22</v>
      </c>
      <c r="D4">
        <v>3</v>
      </c>
      <c r="G4" t="s">
        <v>55</v>
      </c>
      <c r="H4" t="s">
        <v>59</v>
      </c>
    </row>
    <row r="5" spans="1:8">
      <c r="C5" t="s">
        <v>24</v>
      </c>
      <c r="D5">
        <v>4</v>
      </c>
      <c r="H5" t="s">
        <v>19</v>
      </c>
    </row>
    <row r="6" spans="1:8">
      <c r="C6" t="s">
        <v>19</v>
      </c>
      <c r="D6">
        <v>5</v>
      </c>
    </row>
    <row r="7" spans="1:8">
      <c r="C7" t="s">
        <v>25</v>
      </c>
      <c r="D7" t="s">
        <v>27</v>
      </c>
    </row>
    <row r="8" spans="1:8">
      <c r="C8" t="s">
        <v>25</v>
      </c>
    </row>
  </sheetData>
  <sheetProtection sheet="1" objects="1" scenarios="1" selectLockedCells="1" selectUnlockedCell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8</vt:i4>
      </vt:variant>
    </vt:vector>
  </HeadingPairs>
  <TitlesOfParts>
    <vt:vector size="8" baseType="lpstr">
      <vt:lpstr> </vt:lpstr>
      <vt:lpstr>Pokyny k vyplnění</vt:lpstr>
      <vt:lpstr>Úvod</vt:lpstr>
      <vt:lpstr>Vzor 1</vt:lpstr>
      <vt:lpstr>Vzor 2</vt:lpstr>
      <vt:lpstr>FORMULÁŘ (2)</vt:lpstr>
      <vt:lpstr>FORMULÁŘ</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Vladimír Nesvadba</dc:creator>
  <cp:lastModifiedBy>Honza</cp:lastModifiedBy>
  <cp:lastPrinted>2017-12-27T19:04:59Z</cp:lastPrinted>
  <dcterms:created xsi:type="dcterms:W3CDTF">2017-08-05T16:45:01Z</dcterms:created>
  <dcterms:modified xsi:type="dcterms:W3CDTF">2018-08-01T11:27:50Z</dcterms:modified>
</cp:coreProperties>
</file>